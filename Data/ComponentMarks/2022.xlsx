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tents" sheetId="1" state="visible" r:id="rId3"/>
    <sheet name="National_5" sheetId="2" state="visible" r:id="rId4"/>
    <sheet name="Higher" sheetId="3" state="visible" r:id="rId5"/>
    <sheet name="Advanced_Higher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<sst xmlns="http://schemas.openxmlformats.org/spreadsheetml/2006/main" count="580" uniqueCount="193">
  <si>
    <t xml:space="preserve">Component Marks for National 5, Higher, and Advanced Higher in 2022</t>
  </si>
  <si>
    <t xml:space="preserve">This release provides component names, maximum marks and the mean marks achieved for National 5, Higher and Advanced Higher courses. </t>
  </si>
  <si>
    <t xml:space="preserve">Reference: 22CM</t>
  </si>
  <si>
    <t xml:space="preserve">Release date: 9 August 2022</t>
  </si>
  <si>
    <t xml:space="preserve">Head of Profession: Stephen J. Price</t>
  </si>
  <si>
    <t xml:space="preserve">Contact: data.analytics@sqa.org.uk</t>
  </si>
  <si>
    <t xml:space="preserve">Table 1: National 5 component marks for 2022</t>
  </si>
  <si>
    <t xml:space="preserve">Subject</t>
  </si>
  <si>
    <t xml:space="preserve">Component 1 Name</t>
  </si>
  <si>
    <t xml:space="preserve">Component 1 Maximum Mark</t>
  </si>
  <si>
    <t xml:space="preserve">Component 1 Mean Mark</t>
  </si>
  <si>
    <t xml:space="preserve">Component 2 Name</t>
  </si>
  <si>
    <t xml:space="preserve">Component 2 Maximum Mark</t>
  </si>
  <si>
    <t xml:space="preserve">Component 2 Mean Mark</t>
  </si>
  <si>
    <t xml:space="preserve">Component 3 Name</t>
  </si>
  <si>
    <t xml:space="preserve">Component 3 Maximum Mark</t>
  </si>
  <si>
    <t xml:space="preserve">Component 3 Mean Mark</t>
  </si>
  <si>
    <t xml:space="preserve">Component 4 Name</t>
  </si>
  <si>
    <t xml:space="preserve">Component 4 Maximum Mark</t>
  </si>
  <si>
    <t xml:space="preserve">Component 4 Mean Mark</t>
  </si>
  <si>
    <t xml:space="preserve">Accounting</t>
  </si>
  <si>
    <t xml:space="preserve">Question Paper</t>
  </si>
  <si>
    <t xml:space="preserve">Administration and IT</t>
  </si>
  <si>
    <t xml:space="preserve">Assignment</t>
  </si>
  <si>
    <t xml:space="preserve">Applications of Mathematics</t>
  </si>
  <si>
    <t xml:space="preserve">Paper 1 (Non Calculator)</t>
  </si>
  <si>
    <t xml:space="preserve">Paper 2 (Calculator)</t>
  </si>
  <si>
    <t xml:space="preserve">Art and Design</t>
  </si>
  <si>
    <t xml:space="preserve">Portfolio: Expressive</t>
  </si>
  <si>
    <t xml:space="preserve">Portfolio: Design</t>
  </si>
  <si>
    <t xml:space="preserve">Biology</t>
  </si>
  <si>
    <t xml:space="preserve">Section 2</t>
  </si>
  <si>
    <t xml:space="preserve">Section 1 - Objective Test</t>
  </si>
  <si>
    <t xml:space="preserve">Business Management</t>
  </si>
  <si>
    <t xml:space="preserve">Cantonese</t>
  </si>
  <si>
    <t xml:space="preserve">Reading</t>
  </si>
  <si>
    <t xml:space="preserve">Writing</t>
  </si>
  <si>
    <t xml:space="preserve">Listening</t>
  </si>
  <si>
    <t xml:space="preserve">Performance: Talking</t>
  </si>
  <si>
    <t xml:space="preserve">Care</t>
  </si>
  <si>
    <t xml:space="preserve">Project</t>
  </si>
  <si>
    <t xml:space="preserve">Chemistry</t>
  </si>
  <si>
    <t xml:space="preserve">Classical Studies</t>
  </si>
  <si>
    <t xml:space="preserve">Computing Science</t>
  </si>
  <si>
    <t xml:space="preserve">Cruinn-eolas (Geography)</t>
  </si>
  <si>
    <t xml:space="preserve">Paipear Cheistean (Question Paper)</t>
  </si>
  <si>
    <t xml:space="preserve">Dance</t>
  </si>
  <si>
    <t xml:space="preserve">Practical Activity</t>
  </si>
  <si>
    <t xml:space="preserve">Performance</t>
  </si>
  <si>
    <t xml:space="preserve">Design and Manufacture</t>
  </si>
  <si>
    <t xml:space="preserve">Assignment: Design</t>
  </si>
  <si>
    <t xml:space="preserve">Assignment: Practical</t>
  </si>
  <si>
    <t xml:space="preserve">Drama</t>
  </si>
  <si>
    <t xml:space="preserve">Eachdraidh (History)</t>
  </si>
  <si>
    <t xml:space="preserve">Economics</t>
  </si>
  <si>
    <t xml:space="preserve">Engineering Science</t>
  </si>
  <si>
    <t xml:space="preserve">English</t>
  </si>
  <si>
    <t xml:space="preserve">Reading for Understanding  Analysis and Evaluation</t>
  </si>
  <si>
    <t xml:space="preserve">Critical Reading</t>
  </si>
  <si>
    <t xml:space="preserve">Portfolio: Writing</t>
  </si>
  <si>
    <t xml:space="preserve">English for Speakers of Other Languages</t>
  </si>
  <si>
    <t xml:space="preserve">Environmental Science</t>
  </si>
  <si>
    <t xml:space="preserve">Fashion and Textile Technology</t>
  </si>
  <si>
    <t xml:space="preserve">French</t>
  </si>
  <si>
    <t xml:space="preserve">Gaelic (Learners)</t>
  </si>
  <si>
    <t xml:space="preserve">Gaidhlig</t>
  </si>
  <si>
    <t xml:space="preserve">Leughadh (Reading)</t>
  </si>
  <si>
    <t xml:space="preserve">Litreachas (Literature)</t>
  </si>
  <si>
    <t xml:space="preserve">Eisteachd (Listening)</t>
  </si>
  <si>
    <t xml:space="preserve">Comhradh (Performance: Talking)</t>
  </si>
  <si>
    <t xml:space="preserve">Geography</t>
  </si>
  <si>
    <t xml:space="preserve">German</t>
  </si>
  <si>
    <t xml:space="preserve">Graphic Communication</t>
  </si>
  <si>
    <t xml:space="preserve">Health and Food Technology</t>
  </si>
  <si>
    <t xml:space="preserve">History</t>
  </si>
  <si>
    <t xml:space="preserve">Italian</t>
  </si>
  <si>
    <t xml:space="preserve">Latin</t>
  </si>
  <si>
    <t xml:space="preserve">Paper 1: Literary Appreciation</t>
  </si>
  <si>
    <t xml:space="preserve">Paper 2: Translating</t>
  </si>
  <si>
    <t xml:space="preserve">Mandarin (Simplified)</t>
  </si>
  <si>
    <t xml:space="preserve">Mandarin (Traditional)</t>
  </si>
  <si>
    <t xml:space="preserve">Matamataig (Mathematics)</t>
  </si>
  <si>
    <t xml:space="preserve">Paipear 1 (Gun Aireamhair) (Paper 1 Non Calculator)</t>
  </si>
  <si>
    <t xml:space="preserve">Paipear 2 (Aireamhair) (Paper 2 Calculator)</t>
  </si>
  <si>
    <t xml:space="preserve">Mathematics</t>
  </si>
  <si>
    <t xml:space="preserve">Media</t>
  </si>
  <si>
    <t xml:space="preserve">Modern Studies</t>
  </si>
  <si>
    <t xml:space="preserve">Music</t>
  </si>
  <si>
    <t xml:space="preserve">Performance - Instrument 1</t>
  </si>
  <si>
    <t xml:space="preserve">Performance - Instrument 2</t>
  </si>
  <si>
    <t xml:space="preserve">Music Technology</t>
  </si>
  <si>
    <t xml:space="preserve">Nuadh-Eolas (Modern Studies)</t>
  </si>
  <si>
    <t xml:space="preserve">Philosophy</t>
  </si>
  <si>
    <t xml:space="preserve">Physical Education</t>
  </si>
  <si>
    <t xml:space="preserve">Portfolio</t>
  </si>
  <si>
    <t xml:space="preserve">Physics</t>
  </si>
  <si>
    <t xml:space="preserve">Practical Cake Craft</t>
  </si>
  <si>
    <t xml:space="preserve">Practical Cookery</t>
  </si>
  <si>
    <t xml:space="preserve">Practical Electronics</t>
  </si>
  <si>
    <t xml:space="preserve">Practical Metalworking</t>
  </si>
  <si>
    <t xml:space="preserve">Practical Woodworking</t>
  </si>
  <si>
    <t xml:space="preserve">Psychology</t>
  </si>
  <si>
    <t xml:space="preserve">Religious, Moral and Philosophical Studies</t>
  </si>
  <si>
    <t xml:space="preserve">Sociology</t>
  </si>
  <si>
    <t xml:space="preserve">Spanish</t>
  </si>
  <si>
    <t xml:space="preserve">Urdu</t>
  </si>
  <si>
    <t xml:space="preserve">Table 2: Higher component marks for 2022</t>
  </si>
  <si>
    <t xml:space="preserve">Paper 2</t>
  </si>
  <si>
    <t xml:space="preserve">Paper 1 (Multiple choice)</t>
  </si>
  <si>
    <t xml:space="preserve">Directed Writing</t>
  </si>
  <si>
    <t xml:space="preserve">Childcare and Development</t>
  </si>
  <si>
    <t xml:space="preserve">Classical Literature</t>
  </si>
  <si>
    <t xml:space="preserve">Classical Society</t>
  </si>
  <si>
    <t xml:space="preserve">Reading for Understanding, Analysis and Evaluation</t>
  </si>
  <si>
    <t xml:space="preserve">Paper 1</t>
  </si>
  <si>
    <t xml:space="preserve">Physical and Human Environments</t>
  </si>
  <si>
    <t xml:space="preserve">Global Issues and Geographical Skills</t>
  </si>
  <si>
    <t xml:space="preserve">British, European and World History</t>
  </si>
  <si>
    <t xml:space="preserve">Scottish History</t>
  </si>
  <si>
    <t xml:space="preserve">Human Biology</t>
  </si>
  <si>
    <t xml:space="preserve">Analysis of Media Content</t>
  </si>
  <si>
    <t xml:space="preserve">The Role of Media</t>
  </si>
  <si>
    <t xml:space="preserve">Photography</t>
  </si>
  <si>
    <t xml:space="preserve">Politics</t>
  </si>
  <si>
    <t xml:space="preserve">World Religion, Morality and Belief</t>
  </si>
  <si>
    <t xml:space="preserve">Religious and Philosophical Questions</t>
  </si>
  <si>
    <t xml:space="preserve">Table 3: Advanced Higher component marks for 2022</t>
  </si>
  <si>
    <t xml:space="preserve">Qualification Number</t>
  </si>
  <si>
    <t xml:space="preserve">X800 77</t>
  </si>
  <si>
    <t xml:space="preserve">X806 77</t>
  </si>
  <si>
    <t xml:space="preserve">Art and Design (Design)</t>
  </si>
  <si>
    <t xml:space="preserve">X805 77</t>
  </si>
  <si>
    <t xml:space="preserve">Art and Design (Expressive)</t>
  </si>
  <si>
    <t xml:space="preserve">X807 77</t>
  </si>
  <si>
    <t xml:space="preserve">X810 77</t>
  </si>
  <si>
    <t xml:space="preserve">X811 77</t>
  </si>
  <si>
    <t xml:space="preserve">Reading and Translation</t>
  </si>
  <si>
    <t xml:space="preserve">Listening and Discursive Writing</t>
  </si>
  <si>
    <t xml:space="preserve">X813 77</t>
  </si>
  <si>
    <t xml:space="preserve">X815 77</t>
  </si>
  <si>
    <t xml:space="preserve">Project - Dissertation</t>
  </si>
  <si>
    <t xml:space="preserve">X816 77</t>
  </si>
  <si>
    <t xml:space="preserve">X819 77</t>
  </si>
  <si>
    <t xml:space="preserve">X821 77</t>
  </si>
  <si>
    <t xml:space="preserve">X822 77</t>
  </si>
  <si>
    <t xml:space="preserve">X823 77</t>
  </si>
  <si>
    <t xml:space="preserve">X824 77</t>
  </si>
  <si>
    <t xml:space="preserve">Literary Study</t>
  </si>
  <si>
    <t xml:space="preserve">Textual Analysis</t>
  </si>
  <si>
    <t xml:space="preserve">Project: Dissertation</t>
  </si>
  <si>
    <t xml:space="preserve">X830 77</t>
  </si>
  <si>
    <t xml:space="preserve">X831 77</t>
  </si>
  <si>
    <t xml:space="preserve">X832 77</t>
  </si>
  <si>
    <t xml:space="preserve">Sgrudadh (Practical Criticism)</t>
  </si>
  <si>
    <t xml:space="preserve">Litreachas agus Sgriobhadh (Literature and Writing)</t>
  </si>
  <si>
    <t xml:space="preserve">Eadar-theangachadh (Translation)</t>
  </si>
  <si>
    <t xml:space="preserve">X833 77</t>
  </si>
  <si>
    <t xml:space="preserve">Project Folio: Section A</t>
  </si>
  <si>
    <t xml:space="preserve">Project Folio: Section B</t>
  </si>
  <si>
    <t xml:space="preserve">X834 77</t>
  </si>
  <si>
    <t xml:space="preserve">X835 77</t>
  </si>
  <si>
    <t xml:space="preserve">X836 77</t>
  </si>
  <si>
    <t xml:space="preserve">X837 77</t>
  </si>
  <si>
    <t xml:space="preserve">X842 77</t>
  </si>
  <si>
    <t xml:space="preserve">X843 77</t>
  </si>
  <si>
    <t xml:space="preserve">X845 77</t>
  </si>
  <si>
    <t xml:space="preserve">X846 77</t>
  </si>
  <si>
    <t xml:space="preserve">X847 77</t>
  </si>
  <si>
    <t xml:space="preserve">X802 77</t>
  </si>
  <si>
    <t xml:space="preserve">Mathematics of Mechanics</t>
  </si>
  <si>
    <t xml:space="preserve">X849 77</t>
  </si>
  <si>
    <t xml:space="preserve">X850 77</t>
  </si>
  <si>
    <t xml:space="preserve">X851 77</t>
  </si>
  <si>
    <t xml:space="preserve">X878 77</t>
  </si>
  <si>
    <t xml:space="preserve">Music: Portfolio</t>
  </si>
  <si>
    <t xml:space="preserve">X856 77</t>
  </si>
  <si>
    <t xml:space="preserve">X857 77</t>
  </si>
  <si>
    <t xml:space="preserve">X864 77</t>
  </si>
  <si>
    <t xml:space="preserve">Dissertation</t>
  </si>
  <si>
    <t xml:space="preserve">X869 77</t>
  </si>
  <si>
    <t xml:space="preserve">X803 77</t>
  </si>
  <si>
    <t xml:space="preserve">Statistics</t>
  </si>
  <si>
    <t xml:space="preserve">Notes accompanying this release</t>
  </si>
  <si>
    <t xml:space="preserve">Note number</t>
  </si>
  <si>
    <t xml:space="preserve">Note text</t>
  </si>
  <si>
    <t xml:space="preserve">[note 1]</t>
  </si>
  <si>
    <t xml:space="preserve">Data represent a snapshot of live data shortly before results day.</t>
  </si>
  <si>
    <t xml:space="preserve">[note 2]</t>
  </si>
  <si>
    <t xml:space="preserve">Only candidates that completed all components were included in calculations of mean marks. Marks used to calculate mean marks are marks after any scaling.</t>
  </si>
  <si>
    <t xml:space="preserve">[note 3]</t>
  </si>
  <si>
    <t xml:space="preserve">Refer to the background information document for additional information.</t>
  </si>
  <si>
    <t xml:space="preserve">[note 4]</t>
  </si>
  <si>
    <t xml:space="preserve">We welcome your feedback on our publications. Should you have any comments on this statistical release and how to improve it to meet your needs please contact us using data.analytics@sqa.org.uk. 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</si>
</sst>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2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5"/>
      <color rgb="FF44546A"/>
      <name val="Calibri"/>
      <family val="2"/>
      <charset val="1"/>
    </font>
    <font>
      <u val="single"/>
      <sz val="12"/>
      <color rgb="FF0563C1"/>
      <name val="Arial"/>
      <family val="2"/>
      <charset val="1"/>
    </font>
    <font>
      <sz val="11"/>
      <color rgb="FF9C65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8"/>
      <color rgb="FF44546A"/>
      <name val="Calibri Light"/>
      <family val="2"/>
      <charset val="1"/>
    </font>
    <font>
      <b val="true"/>
      <sz val="15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u val="single"/>
      <sz val="12"/>
      <color rgb="FF4472C4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u val="single"/>
      <sz val="11"/>
      <color rgb="FF0563C1"/>
      <name val="Arial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FCC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EDEDED"/>
      </patternFill>
    </fill>
    <fill>
      <patternFill patternType="solid">
        <fgColor rgb="FFB4C6E7"/>
        <bgColor rgb="FF9BC2E6"/>
      </patternFill>
    </fill>
    <fill>
      <patternFill patternType="solid">
        <fgColor rgb="FFF8CBAD"/>
        <bgColor rgb="FFFFE699"/>
      </patternFill>
    </fill>
    <fill>
      <patternFill patternType="solid">
        <fgColor rgb="FFDBDBDB"/>
        <bgColor rgb="FFD9E1F2"/>
      </patternFill>
    </fill>
    <fill>
      <patternFill patternType="solid">
        <fgColor rgb="FFFFE699"/>
        <bgColor rgb="FFFFEB9C"/>
      </patternFill>
    </fill>
    <fill>
      <patternFill patternType="solid">
        <fgColor rgb="FFBDD7EE"/>
        <bgColor rgb="FFB4C6E7"/>
      </patternFill>
    </fill>
    <fill>
      <patternFill patternType="solid">
        <fgColor rgb="FFC6E0B4"/>
        <bgColor rgb="FFDBDBDB"/>
      </patternFill>
    </fill>
    <fill>
      <patternFill patternType="solid">
        <fgColor rgb="FF8EA9DB"/>
        <bgColor rgb="FF9BC2E6"/>
      </patternFill>
    </fill>
    <fill>
      <patternFill patternType="solid">
        <fgColor rgb="FFF4B084"/>
        <bgColor rgb="FFF8CBAD"/>
      </patternFill>
    </fill>
    <fill>
      <patternFill patternType="solid">
        <fgColor rgb="FFC9C9C9"/>
        <bgColor rgb="FFB4C6E7"/>
      </patternFill>
    </fill>
    <fill>
      <patternFill patternType="solid">
        <fgColor rgb="FFFFD966"/>
        <bgColor rgb="FFFFE699"/>
      </patternFill>
    </fill>
    <fill>
      <patternFill patternType="solid">
        <fgColor rgb="FF9BC2E6"/>
        <bgColor rgb="FFB4C6E7"/>
      </patternFill>
    </fill>
    <fill>
      <patternFill patternType="solid">
        <fgColor rgb="FFA9D08E"/>
        <bgColor rgb="FFC6E0B4"/>
      </patternFill>
    </fill>
    <fill>
      <patternFill patternType="solid">
        <fgColor rgb="FFFFEB9C"/>
        <bgColor rgb="FFFFE699"/>
      </patternFill>
    </fill>
    <fill>
      <patternFill patternType="solid">
        <fgColor rgb="FFFFFFCC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4472C4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/>
      <top/>
      <bottom style="thin"/>
      <diagonal/>
    </border>
  </borders>
  <cellStyleXfs count="4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1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2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4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4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0" xfId="3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3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Heading 1 2" xfId="38"/>
    <cellStyle name="Hyperlink 1" xfId="39"/>
    <cellStyle name="Neutral 2" xfId="40"/>
    <cellStyle name="Normal 2" xfId="41"/>
    <cellStyle name="Normal 3" xfId="42"/>
    <cellStyle name="Note 2" xfId="43"/>
    <cellStyle name="Title 2" xfId="44"/>
    <cellStyle name="Excel Built-in Heading 1" xfId="4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9C9C9"/>
      <rgbColor rgb="FFD9E1F2"/>
      <rgbColor rgb="FF8EA9DB"/>
      <rgbColor rgb="FF993366"/>
      <rgbColor rgb="FFFFFFCC"/>
      <rgbColor rgb="FFDDEBF7"/>
      <rgbColor rgb="FF660066"/>
      <rgbColor rgb="FFDBDBDB"/>
      <rgbColor rgb="FF0563C1"/>
      <rgbColor rgb="FFBDD7EE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B9C"/>
      <rgbColor rgb="FF9BC2E6"/>
      <rgbColor rgb="FFF4B084"/>
      <rgbColor rgb="FFB4C6E7"/>
      <rgbColor rgb="FFF8CBAD"/>
      <rgbColor rgb="FF4472C4"/>
      <rgbColor rgb="FFC6E0B4"/>
      <rgbColor rgb="FFA9D08E"/>
      <rgbColor rgb="FFFFD966"/>
      <rgbColor rgb="FFFCE4D6"/>
      <rgbColor rgb="FFFF6600"/>
      <rgbColor rgb="FF44546A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3_notes_accompanying_this_release" displayName="table_13_notes_accompanying_this_release" ref="A2:B6" headerRowCount="1" totalsRowCount="0" totalsRowShown="0">
  <tableColumns count="2">
    <tableColumn id="1" name="Note number"/>
    <tableColumn id="2" name="Note text"/>
  </tableColumns>
</table>
</file>

<file path=xl/tables/table2.xml><?xml version="1.0" encoding="utf-8"?>
<table xmlns="http://schemas.openxmlformats.org/spreadsheetml/2006/main" id="2" name="table_1_national_5_component_marks_for_2022" displayName="table_1_national_5_component_marks_for_2022" ref="A3:M57" headerRowCount="1" totalsRowCount="0" totalsRowShown="0">
  <tableColumns count="13">
    <tableColumn id="1" name="Subject"/>
    <tableColumn id="2" name="Component 1 Name"/>
    <tableColumn id="3" name="Component 1 Maximum Mark"/>
    <tableColumn id="4" name="Component 1 Mean Mark"/>
    <tableColumn id="5" name="Component 2 Name"/>
    <tableColumn id="6" name="Component 2 Maximum Mark"/>
    <tableColumn id="7" name="Component 2 Mean Mark"/>
    <tableColumn id="8" name="Component 3 Name"/>
    <tableColumn id="9" name="Component 3 Maximum Mark"/>
    <tableColumn id="10" name="Component 3 Mean Mark"/>
    <tableColumn id="11" name="Component 4 Name"/>
    <tableColumn id="12" name="Component 4 Maximum Mark"/>
    <tableColumn id="13" name="Component 4 Mean Mark"/>
  </tableColumns>
</table>
</file>

<file path=xl/tables/table3.xml><?xml version="1.0" encoding="utf-8"?>
<table xmlns="http://schemas.openxmlformats.org/spreadsheetml/2006/main" id="3" name="table_2_higher_component_marks_for_2022" displayName="table_2_higher_component_marks_for_2022" ref="A3:M53" headerRowCount="1" totalsRowCount="0" totalsRowShown="0">
  <tableColumns count="13">
    <tableColumn id="1" name="Subject"/>
    <tableColumn id="2" name="Component 1 Name"/>
    <tableColumn id="3" name="Component 1 Maximum Mark"/>
    <tableColumn id="4" name="Component 1 Mean Mark"/>
    <tableColumn id="5" name="Component 2 Name"/>
    <tableColumn id="6" name="Component 2 Maximum Mark"/>
    <tableColumn id="7" name="Component 2 Mean Mark"/>
    <tableColumn id="8" name="Component 3 Name"/>
    <tableColumn id="9" name="Component 3 Maximum Mark"/>
    <tableColumn id="10" name="Component 3 Mean Mark"/>
    <tableColumn id="11" name="Component 4 Name"/>
    <tableColumn id="12" name="Component 4 Maximum Mark"/>
    <tableColumn id="13" name="Component 4 Mean Mark"/>
  </tableColumns>
</table>
</file>

<file path=xl/tables/table4.xml><?xml version="1.0" encoding="utf-8"?>
<table xmlns="http://schemas.openxmlformats.org/spreadsheetml/2006/main" id="4" name="table_3_advanced_higher_component_marks_for_2022" displayName="table_3_advanced_higher_component_marks_for_2022" ref="A2:N39" headerRowCount="1" totalsRowCount="0" totalsRowShown="0">
  <tableColumns count="14">
    <tableColumn id="1" name="Qualification Number"/>
    <tableColumn id="2" name="Subject"/>
    <tableColumn id="3" name="Component 1 Name"/>
    <tableColumn id="4" name="Component 1 Maximum Mark"/>
    <tableColumn id="5" name="Component 1 Mean Mark"/>
    <tableColumn id="6" name="Component 2 Name"/>
    <tableColumn id="7" name="Component 2 Maximum Mark"/>
    <tableColumn id="8" name="Component 2 Mean Mark"/>
    <tableColumn id="9" name="Component 3 Name"/>
    <tableColumn id="10" name="Component 3 Maximum Mark"/>
    <tableColumn id="11" name="Component 3 Mean Mark"/>
    <tableColumn id="12" name="Component 4 Name"/>
    <tableColumn id="13" name="Component 4 Maximum Mark"/>
    <tableColumn id="14" name="Component 4 Mean Mar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sqa.org.uk/sqa/102190.html" TargetMode="Externa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78125" defaultRowHeight="15" zeroHeight="false" outlineLevelRow="0" outlineLevelCol="0"/>
  <cols>
    <col collapsed="false" customWidth="true" hidden="false" outlineLevel="0" max="1" min="1" style="1" width="88.23"/>
  </cols>
  <sheetData>
    <row r="1" customFormat="false" ht="32.25" hidden="false" customHeight="true" outlineLevel="0" collapsed="false">
      <c r="A1" s="2" t="s">
        <v>0</v>
      </c>
      <c r="B1" s="3"/>
    </row>
    <row r="2" customFormat="false" ht="38.25" hidden="false" customHeight="true" outlineLevel="0" collapsed="false">
      <c r="A2" s="4" t="s">
        <v>1</v>
      </c>
    </row>
    <row r="3" customFormat="false" ht="15" hidden="false" customHeight="false" outlineLevel="0" collapsed="false">
      <c r="A3" s="5" t="str">
        <f aca="false">HYPERLINK("#'National_5'!A1", "Table 1: National 5 component marks for 2022")</f>
        <v>Table 1: National 5 component marks for 2022</v>
      </c>
    </row>
    <row r="4" customFormat="false" ht="15" hidden="false" customHeight="false" outlineLevel="0" collapsed="false">
      <c r="A4" s="5" t="str">
        <f aca="false">HYPERLINK("#'Higher'!A1", "Table 2: Higher component marks for 2022")</f>
        <v>Table 2: Higher component marks for 2022</v>
      </c>
    </row>
    <row r="5" customFormat="false" ht="15" hidden="false" customHeight="false" outlineLevel="0" collapsed="false">
      <c r="A5" s="5" t="str">
        <f aca="false">HYPERLINK("#'Advanced_Higher'!A1", "Table 3: Advanced Higher component marks for 2022")</f>
        <v>Table 3: Advanced Higher component marks for 2022</v>
      </c>
    </row>
    <row r="6" customFormat="false" ht="31.5" hidden="false" customHeight="true" outlineLevel="0" collapsed="false">
      <c r="A6" s="5" t="str">
        <f aca="false">HYPERLINK("#'Notes'!A1", "Notes accompanying this release")</f>
        <v>Notes accompanying this release</v>
      </c>
    </row>
    <row r="7" customFormat="false" ht="28.5" hidden="false" customHeight="true" outlineLevel="0" collapsed="false">
      <c r="A7" s="1" t="s">
        <v>2</v>
      </c>
    </row>
    <row r="8" customFormat="false" ht="15" hidden="false" customHeight="false" outlineLevel="0" collapsed="false">
      <c r="A8" s="1" t="s">
        <v>3</v>
      </c>
    </row>
    <row r="9" customFormat="false" ht="15" hidden="false" customHeight="false" outlineLevel="0" collapsed="false">
      <c r="A9" s="1" t="s">
        <v>4</v>
      </c>
    </row>
    <row r="10" customFormat="false" ht="15" hidden="false" customHeight="false" outlineLevel="0" collapsed="false">
      <c r="A10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078125" defaultRowHeight="15" zeroHeight="false" outlineLevelRow="0" outlineLevelCol="0"/>
  <cols>
    <col collapsed="false" customWidth="true" hidden="false" outlineLevel="0" max="1" min="1" style="1" width="36.53"/>
    <col collapsed="false" customWidth="true" hidden="false" outlineLevel="0" max="2" min="2" style="1" width="45.08"/>
    <col collapsed="false" customWidth="true" hidden="false" outlineLevel="0" max="3" min="3" style="1" width="26.84"/>
    <col collapsed="false" customWidth="true" hidden="false" outlineLevel="0" max="4" min="4" style="1" width="23.07"/>
    <col collapsed="false" customWidth="true" hidden="false" outlineLevel="0" max="5" min="5" style="1" width="36.77"/>
    <col collapsed="false" customWidth="true" hidden="false" outlineLevel="0" max="6" min="6" style="1" width="26.84"/>
    <col collapsed="false" customWidth="true" hidden="false" outlineLevel="0" max="7" min="7" style="1" width="23.07"/>
    <col collapsed="false" customWidth="true" hidden="false" outlineLevel="0" max="8" min="8" style="1" width="23.61"/>
    <col collapsed="false" customWidth="true" hidden="false" outlineLevel="0" max="9" min="9" style="1" width="26.84"/>
    <col collapsed="false" customWidth="true" hidden="false" outlineLevel="0" max="10" min="10" style="1" width="23.07"/>
    <col collapsed="false" customWidth="true" hidden="false" outlineLevel="0" max="11" min="11" style="1" width="46.69"/>
    <col collapsed="false" customWidth="true" hidden="false" outlineLevel="0" max="12" min="12" style="1" width="26.84"/>
    <col collapsed="false" customWidth="true" hidden="false" outlineLevel="0" max="13" min="13" style="1" width="23.07"/>
    <col collapsed="false" customWidth="true" hidden="false" outlineLevel="0" max="16384" min="16384" style="1" width="9.63"/>
  </cols>
  <sheetData>
    <row r="1" customFormat="false" ht="33.75" hidden="false" customHeight="true" outlineLevel="0" collapsed="false">
      <c r="A1" s="6" t="s">
        <v>6</v>
      </c>
    </row>
    <row r="2" customFormat="false" ht="33.75" hidden="false" customHeight="true" outlineLevel="0" collapsed="false"/>
    <row r="3" customFormat="false" ht="15" hidden="false" customHeight="false" outlineLevel="0" collapsed="false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7" t="s">
        <v>19</v>
      </c>
    </row>
    <row r="4" customFormat="false" ht="15" hidden="false" customHeight="false" outlineLevel="0" collapsed="false">
      <c r="A4" s="8" t="s">
        <v>20</v>
      </c>
      <c r="B4" s="8" t="s">
        <v>21</v>
      </c>
      <c r="C4" s="1" t="n">
        <v>130</v>
      </c>
      <c r="D4" s="1" t="n">
        <v>80</v>
      </c>
    </row>
    <row r="5" customFormat="false" ht="15" hidden="false" customHeight="false" outlineLevel="0" collapsed="false">
      <c r="A5" s="8" t="s">
        <v>22</v>
      </c>
      <c r="B5" s="8" t="s">
        <v>21</v>
      </c>
      <c r="C5" s="1" t="n">
        <v>40</v>
      </c>
      <c r="D5" s="1" t="n">
        <v>19.6</v>
      </c>
      <c r="E5" s="8" t="s">
        <v>23</v>
      </c>
      <c r="F5" s="1" t="n">
        <v>70</v>
      </c>
      <c r="G5" s="1" t="n">
        <v>43.7</v>
      </c>
    </row>
    <row r="6" customFormat="false" ht="15" hidden="false" customHeight="false" outlineLevel="0" collapsed="false">
      <c r="A6" s="8" t="s">
        <v>24</v>
      </c>
      <c r="B6" s="8" t="s">
        <v>25</v>
      </c>
      <c r="C6" s="1" t="n">
        <v>35</v>
      </c>
      <c r="D6" s="1" t="n">
        <v>15.2</v>
      </c>
      <c r="E6" s="8" t="s">
        <v>26</v>
      </c>
      <c r="F6" s="1" t="n">
        <v>55</v>
      </c>
      <c r="G6" s="1" t="n">
        <v>32.8</v>
      </c>
    </row>
    <row r="7" customFormat="false" ht="15" hidden="false" customHeight="false" outlineLevel="0" collapsed="false">
      <c r="A7" s="8" t="s">
        <v>27</v>
      </c>
      <c r="B7" s="8" t="s">
        <v>21</v>
      </c>
      <c r="C7" s="1" t="n">
        <v>50</v>
      </c>
      <c r="D7" s="1" t="n">
        <v>24.8</v>
      </c>
      <c r="E7" s="8" t="s">
        <v>28</v>
      </c>
      <c r="F7" s="1" t="n">
        <v>100</v>
      </c>
      <c r="G7" s="1" t="n">
        <v>77.3</v>
      </c>
      <c r="H7" s="8" t="s">
        <v>29</v>
      </c>
      <c r="I7" s="1" t="n">
        <v>100</v>
      </c>
      <c r="J7" s="1" t="n">
        <v>67.8</v>
      </c>
    </row>
    <row r="8" customFormat="false" ht="15" hidden="false" customHeight="false" outlineLevel="0" collapsed="false">
      <c r="A8" s="8" t="s">
        <v>30</v>
      </c>
      <c r="B8" s="8" t="s">
        <v>31</v>
      </c>
      <c r="C8" s="1" t="n">
        <v>75</v>
      </c>
      <c r="D8" s="1" t="n">
        <v>35.1</v>
      </c>
      <c r="E8" s="8" t="s">
        <v>32</v>
      </c>
      <c r="F8" s="1" t="n">
        <v>25</v>
      </c>
      <c r="G8" s="1" t="n">
        <v>15.1</v>
      </c>
    </row>
    <row r="9" customFormat="false" ht="15" hidden="false" customHeight="false" outlineLevel="0" collapsed="false">
      <c r="A9" s="8" t="s">
        <v>33</v>
      </c>
      <c r="B9" s="8" t="s">
        <v>21</v>
      </c>
      <c r="C9" s="1" t="n">
        <v>90</v>
      </c>
      <c r="D9" s="1" t="n">
        <v>52.3</v>
      </c>
      <c r="E9" s="8" t="s">
        <v>23</v>
      </c>
      <c r="F9" s="1" t="n">
        <v>30</v>
      </c>
      <c r="G9" s="1" t="n">
        <v>26</v>
      </c>
    </row>
    <row r="10" customFormat="false" ht="15" hidden="false" customHeight="false" outlineLevel="0" collapsed="false">
      <c r="A10" s="8" t="s">
        <v>34</v>
      </c>
      <c r="B10" s="8" t="s">
        <v>35</v>
      </c>
      <c r="C10" s="1" t="n">
        <v>30</v>
      </c>
      <c r="D10" s="1" t="n">
        <v>27.7</v>
      </c>
      <c r="E10" s="8" t="s">
        <v>36</v>
      </c>
      <c r="F10" s="1" t="n">
        <v>30</v>
      </c>
      <c r="G10" s="1" t="n">
        <v>26</v>
      </c>
      <c r="H10" s="8" t="s">
        <v>37</v>
      </c>
      <c r="I10" s="1" t="n">
        <v>30</v>
      </c>
      <c r="J10" s="1" t="n">
        <v>28.7</v>
      </c>
      <c r="K10" s="8" t="s">
        <v>38</v>
      </c>
      <c r="L10" s="1" t="n">
        <v>30</v>
      </c>
      <c r="M10" s="1" t="n">
        <v>30</v>
      </c>
    </row>
    <row r="11" customFormat="false" ht="15" hidden="false" customHeight="false" outlineLevel="0" collapsed="false">
      <c r="A11" s="8" t="s">
        <v>39</v>
      </c>
      <c r="B11" s="8" t="s">
        <v>21</v>
      </c>
      <c r="C11" s="1" t="n">
        <v>40</v>
      </c>
      <c r="D11" s="1" t="n">
        <v>17.1</v>
      </c>
      <c r="E11" s="8" t="s">
        <v>40</v>
      </c>
      <c r="F11" s="1" t="n">
        <v>80</v>
      </c>
      <c r="G11" s="1" t="n">
        <v>45.2</v>
      </c>
    </row>
    <row r="12" customFormat="false" ht="15" hidden="false" customHeight="false" outlineLevel="0" collapsed="false">
      <c r="A12" s="8" t="s">
        <v>41</v>
      </c>
      <c r="B12" s="8" t="s">
        <v>31</v>
      </c>
      <c r="C12" s="1" t="n">
        <v>75</v>
      </c>
      <c r="D12" s="1" t="n">
        <v>45.8</v>
      </c>
      <c r="E12" s="8" t="s">
        <v>32</v>
      </c>
      <c r="F12" s="1" t="n">
        <v>25</v>
      </c>
      <c r="G12" s="1" t="n">
        <v>17.2</v>
      </c>
    </row>
    <row r="13" customFormat="false" ht="15" hidden="false" customHeight="false" outlineLevel="0" collapsed="false">
      <c r="A13" s="8" t="s">
        <v>42</v>
      </c>
      <c r="B13" s="8" t="s">
        <v>21</v>
      </c>
      <c r="C13" s="1" t="n">
        <v>80</v>
      </c>
      <c r="D13" s="1" t="n">
        <v>52.5</v>
      </c>
    </row>
    <row r="14" customFormat="false" ht="15" hidden="false" customHeight="false" outlineLevel="0" collapsed="false">
      <c r="A14" s="8" t="s">
        <v>43</v>
      </c>
      <c r="B14" s="8" t="s">
        <v>21</v>
      </c>
      <c r="C14" s="1" t="n">
        <v>80</v>
      </c>
      <c r="D14" s="1" t="n">
        <v>45.9</v>
      </c>
      <c r="E14" s="8" t="s">
        <v>23</v>
      </c>
      <c r="F14" s="1" t="n">
        <v>40</v>
      </c>
      <c r="G14" s="1" t="n">
        <v>29.8</v>
      </c>
    </row>
    <row r="15" customFormat="false" ht="15" hidden="false" customHeight="false" outlineLevel="0" collapsed="false">
      <c r="A15" s="8" t="s">
        <v>44</v>
      </c>
      <c r="B15" s="8" t="s">
        <v>45</v>
      </c>
      <c r="C15" s="1" t="n">
        <v>70</v>
      </c>
      <c r="D15" s="1" t="n">
        <v>48.1</v>
      </c>
    </row>
    <row r="16" customFormat="false" ht="15" hidden="false" customHeight="false" outlineLevel="0" collapsed="false">
      <c r="A16" s="8" t="s">
        <v>46</v>
      </c>
      <c r="B16" s="8" t="s">
        <v>21</v>
      </c>
      <c r="C16" s="1" t="n">
        <v>20</v>
      </c>
      <c r="D16" s="1" t="n">
        <v>6.7</v>
      </c>
      <c r="E16" s="8" t="s">
        <v>47</v>
      </c>
      <c r="F16" s="1" t="n">
        <v>45</v>
      </c>
      <c r="G16" s="1" t="n">
        <v>30.5</v>
      </c>
      <c r="H16" s="8" t="s">
        <v>48</v>
      </c>
      <c r="I16" s="1" t="n">
        <v>35</v>
      </c>
      <c r="J16" s="1" t="n">
        <v>23.5</v>
      </c>
    </row>
    <row r="17" customFormat="false" ht="15" hidden="false" customHeight="false" outlineLevel="0" collapsed="false">
      <c r="A17" s="8" t="s">
        <v>49</v>
      </c>
      <c r="B17" s="8" t="s">
        <v>21</v>
      </c>
      <c r="C17" s="1" t="n">
        <v>80</v>
      </c>
      <c r="D17" s="1" t="n">
        <v>48.9</v>
      </c>
      <c r="E17" s="8" t="s">
        <v>50</v>
      </c>
      <c r="F17" s="1" t="n">
        <v>50</v>
      </c>
      <c r="G17" s="1" t="n">
        <v>25.4</v>
      </c>
      <c r="H17" s="8" t="s">
        <v>51</v>
      </c>
      <c r="I17" s="1" t="n">
        <v>45</v>
      </c>
      <c r="J17" s="1" t="n">
        <v>29.4</v>
      </c>
    </row>
    <row r="18" customFormat="false" ht="15" hidden="false" customHeight="false" outlineLevel="0" collapsed="false">
      <c r="A18" s="8" t="s">
        <v>52</v>
      </c>
      <c r="B18" s="8" t="s">
        <v>21</v>
      </c>
      <c r="C18" s="1" t="n">
        <v>40</v>
      </c>
      <c r="D18" s="1" t="n">
        <v>25</v>
      </c>
      <c r="E18" s="8" t="s">
        <v>48</v>
      </c>
      <c r="F18" s="1" t="n">
        <v>60</v>
      </c>
      <c r="G18" s="1" t="n">
        <v>48.6</v>
      </c>
    </row>
    <row r="19" customFormat="false" ht="15" hidden="false" customHeight="false" outlineLevel="0" collapsed="false">
      <c r="A19" s="8" t="s">
        <v>53</v>
      </c>
      <c r="B19" s="8" t="s">
        <v>45</v>
      </c>
      <c r="C19" s="1" t="n">
        <v>80</v>
      </c>
      <c r="D19" s="1" t="n">
        <v>49.8</v>
      </c>
    </row>
    <row r="20" customFormat="false" ht="15" hidden="false" customHeight="false" outlineLevel="0" collapsed="false">
      <c r="A20" s="8" t="s">
        <v>54</v>
      </c>
      <c r="B20" s="8" t="s">
        <v>21</v>
      </c>
      <c r="C20" s="1" t="n">
        <v>90</v>
      </c>
      <c r="D20" s="1" t="n">
        <v>65.5</v>
      </c>
      <c r="E20" s="8" t="s">
        <v>23</v>
      </c>
      <c r="F20" s="1" t="n">
        <v>30</v>
      </c>
      <c r="G20" s="1" t="n">
        <v>24.9</v>
      </c>
    </row>
    <row r="21" customFormat="false" ht="15" hidden="false" customHeight="false" outlineLevel="0" collapsed="false">
      <c r="A21" s="8" t="s">
        <v>55</v>
      </c>
      <c r="B21" s="8" t="s">
        <v>21</v>
      </c>
      <c r="C21" s="1" t="n">
        <v>110</v>
      </c>
      <c r="D21" s="1" t="n">
        <v>71.5</v>
      </c>
    </row>
    <row r="22" customFormat="false" ht="15" hidden="false" customHeight="false" outlineLevel="0" collapsed="false">
      <c r="A22" s="8" t="s">
        <v>56</v>
      </c>
      <c r="B22" s="8" t="s">
        <v>57</v>
      </c>
      <c r="C22" s="1" t="n">
        <v>30</v>
      </c>
      <c r="D22" s="1" t="n">
        <v>18.4</v>
      </c>
      <c r="E22" s="8" t="s">
        <v>58</v>
      </c>
      <c r="F22" s="1" t="n">
        <v>40</v>
      </c>
      <c r="G22" s="1" t="n">
        <v>28.1</v>
      </c>
      <c r="H22" s="8" t="s">
        <v>59</v>
      </c>
      <c r="I22" s="1" t="n">
        <v>30</v>
      </c>
      <c r="J22" s="1" t="n">
        <v>20.8</v>
      </c>
    </row>
    <row r="23" customFormat="false" ht="15" hidden="false" customHeight="false" outlineLevel="0" collapsed="false">
      <c r="A23" s="8" t="s">
        <v>60</v>
      </c>
      <c r="B23" s="8" t="s">
        <v>37</v>
      </c>
      <c r="C23" s="1" t="n">
        <v>20</v>
      </c>
      <c r="D23" s="1" t="n">
        <v>11.1</v>
      </c>
      <c r="E23" s="8" t="s">
        <v>35</v>
      </c>
      <c r="F23" s="1" t="n">
        <v>25</v>
      </c>
      <c r="G23" s="1" t="n">
        <v>13.9</v>
      </c>
      <c r="H23" s="8" t="s">
        <v>36</v>
      </c>
      <c r="I23" s="1" t="n">
        <v>25</v>
      </c>
      <c r="J23" s="1" t="n">
        <v>12.8</v>
      </c>
      <c r="K23" s="8" t="s">
        <v>48</v>
      </c>
      <c r="L23" s="1" t="n">
        <v>30</v>
      </c>
      <c r="M23" s="1" t="n">
        <v>22.9</v>
      </c>
    </row>
    <row r="24" customFormat="false" ht="15" hidden="false" customHeight="false" outlineLevel="0" collapsed="false">
      <c r="A24" s="8" t="s">
        <v>61</v>
      </c>
      <c r="B24" s="8" t="s">
        <v>21</v>
      </c>
      <c r="C24" s="1" t="n">
        <v>100</v>
      </c>
      <c r="D24" s="1" t="n">
        <v>47.8</v>
      </c>
    </row>
    <row r="25" customFormat="false" ht="15" hidden="false" customHeight="false" outlineLevel="0" collapsed="false">
      <c r="A25" s="8" t="s">
        <v>62</v>
      </c>
      <c r="B25" s="8" t="s">
        <v>21</v>
      </c>
      <c r="C25" s="1" t="n">
        <v>30</v>
      </c>
      <c r="D25" s="1" t="n">
        <v>12.4</v>
      </c>
      <c r="E25" s="8" t="s">
        <v>23</v>
      </c>
      <c r="F25" s="1" t="n">
        <v>35</v>
      </c>
      <c r="G25" s="1" t="n">
        <v>16</v>
      </c>
      <c r="H25" s="8" t="s">
        <v>47</v>
      </c>
      <c r="I25" s="1" t="n">
        <v>35</v>
      </c>
      <c r="J25" s="1" t="n">
        <v>27.6</v>
      </c>
    </row>
    <row r="26" customFormat="false" ht="15" hidden="false" customHeight="false" outlineLevel="0" collapsed="false">
      <c r="A26" s="8" t="s">
        <v>63</v>
      </c>
      <c r="B26" s="8" t="s">
        <v>35</v>
      </c>
      <c r="C26" s="1" t="n">
        <v>30</v>
      </c>
      <c r="D26" s="1" t="n">
        <v>19.3</v>
      </c>
      <c r="E26" s="8" t="s">
        <v>36</v>
      </c>
      <c r="F26" s="1" t="n">
        <v>30</v>
      </c>
      <c r="G26" s="1" t="n">
        <v>20.9</v>
      </c>
      <c r="H26" s="8" t="s">
        <v>37</v>
      </c>
      <c r="I26" s="1" t="n">
        <v>30</v>
      </c>
      <c r="J26" s="1" t="n">
        <v>14.5</v>
      </c>
      <c r="K26" s="8" t="s">
        <v>38</v>
      </c>
      <c r="L26" s="1" t="n">
        <v>30</v>
      </c>
      <c r="M26" s="1" t="n">
        <v>23.9</v>
      </c>
    </row>
    <row r="27" customFormat="false" ht="15" hidden="false" customHeight="false" outlineLevel="0" collapsed="false">
      <c r="A27" s="8" t="s">
        <v>64</v>
      </c>
      <c r="B27" s="8" t="s">
        <v>35</v>
      </c>
      <c r="C27" s="1" t="n">
        <v>30</v>
      </c>
      <c r="D27" s="1" t="n">
        <v>15.2</v>
      </c>
      <c r="E27" s="8" t="s">
        <v>36</v>
      </c>
      <c r="F27" s="1" t="n">
        <v>30</v>
      </c>
      <c r="G27" s="1" t="n">
        <v>22.2</v>
      </c>
      <c r="H27" s="8" t="s">
        <v>37</v>
      </c>
      <c r="I27" s="1" t="n">
        <v>30</v>
      </c>
      <c r="J27" s="1" t="n">
        <v>13.4</v>
      </c>
      <c r="K27" s="8" t="s">
        <v>38</v>
      </c>
      <c r="L27" s="1" t="n">
        <v>30</v>
      </c>
      <c r="M27" s="1" t="n">
        <v>24.4</v>
      </c>
    </row>
    <row r="28" customFormat="false" ht="15" hidden="false" customHeight="false" outlineLevel="0" collapsed="false">
      <c r="A28" s="8" t="s">
        <v>65</v>
      </c>
      <c r="B28" s="8" t="s">
        <v>66</v>
      </c>
      <c r="C28" s="1" t="n">
        <v>30</v>
      </c>
      <c r="D28" s="1" t="n">
        <v>22.5</v>
      </c>
      <c r="E28" s="8" t="s">
        <v>67</v>
      </c>
      <c r="F28" s="1" t="n">
        <v>20</v>
      </c>
      <c r="G28" s="1" t="n">
        <v>11.1</v>
      </c>
      <c r="H28" s="8" t="s">
        <v>68</v>
      </c>
      <c r="I28" s="1" t="n">
        <v>20</v>
      </c>
      <c r="J28" s="1" t="n">
        <v>10.2</v>
      </c>
      <c r="K28" s="8" t="s">
        <v>69</v>
      </c>
      <c r="L28" s="1" t="n">
        <v>30</v>
      </c>
      <c r="M28" s="1" t="n">
        <v>22.4</v>
      </c>
    </row>
    <row r="29" customFormat="false" ht="15" hidden="false" customHeight="false" outlineLevel="0" collapsed="false">
      <c r="A29" s="8" t="s">
        <v>70</v>
      </c>
      <c r="B29" s="8" t="s">
        <v>21</v>
      </c>
      <c r="C29" s="1" t="n">
        <v>70</v>
      </c>
      <c r="D29" s="1" t="n">
        <v>46.7</v>
      </c>
    </row>
    <row r="30" customFormat="false" ht="15" hidden="false" customHeight="false" outlineLevel="0" collapsed="false">
      <c r="A30" s="8" t="s">
        <v>71</v>
      </c>
      <c r="B30" s="8" t="s">
        <v>35</v>
      </c>
      <c r="C30" s="1" t="n">
        <v>30</v>
      </c>
      <c r="D30" s="1" t="n">
        <v>20.1</v>
      </c>
      <c r="E30" s="8" t="s">
        <v>36</v>
      </c>
      <c r="F30" s="1" t="n">
        <v>30</v>
      </c>
      <c r="G30" s="1" t="n">
        <v>18.3</v>
      </c>
      <c r="H30" s="8" t="s">
        <v>37</v>
      </c>
      <c r="I30" s="1" t="n">
        <v>30</v>
      </c>
      <c r="J30" s="1" t="n">
        <v>19.1</v>
      </c>
      <c r="K30" s="8" t="s">
        <v>38</v>
      </c>
      <c r="L30" s="1" t="n">
        <v>30</v>
      </c>
      <c r="M30" s="1" t="n">
        <v>24.3</v>
      </c>
    </row>
    <row r="31" customFormat="false" ht="15" hidden="false" customHeight="false" outlineLevel="0" collapsed="false">
      <c r="A31" s="8" t="s">
        <v>72</v>
      </c>
      <c r="B31" s="8" t="s">
        <v>21</v>
      </c>
      <c r="C31" s="1" t="n">
        <v>65</v>
      </c>
      <c r="D31" s="1" t="n">
        <v>37.3</v>
      </c>
      <c r="E31" s="8" t="s">
        <v>23</v>
      </c>
      <c r="F31" s="1" t="n">
        <v>40</v>
      </c>
      <c r="G31" s="1" t="n">
        <v>23.4</v>
      </c>
    </row>
    <row r="32" customFormat="false" ht="15" hidden="false" customHeight="false" outlineLevel="0" collapsed="false">
      <c r="A32" s="8" t="s">
        <v>73</v>
      </c>
      <c r="B32" s="8" t="s">
        <v>21</v>
      </c>
      <c r="C32" s="1" t="n">
        <v>50</v>
      </c>
      <c r="D32" s="1" t="n">
        <v>24.8</v>
      </c>
      <c r="E32" s="8" t="s">
        <v>23</v>
      </c>
      <c r="F32" s="1" t="n">
        <v>50</v>
      </c>
      <c r="G32" s="1" t="n">
        <v>33.7</v>
      </c>
    </row>
    <row r="33" customFormat="false" ht="15" hidden="false" customHeight="false" outlineLevel="0" collapsed="false">
      <c r="A33" s="8" t="s">
        <v>74</v>
      </c>
      <c r="B33" s="8" t="s">
        <v>21</v>
      </c>
      <c r="C33" s="1" t="n">
        <v>80</v>
      </c>
      <c r="D33" s="1" t="n">
        <v>46.8</v>
      </c>
    </row>
    <row r="34" customFormat="false" ht="15" hidden="false" customHeight="false" outlineLevel="0" collapsed="false">
      <c r="A34" s="8" t="s">
        <v>75</v>
      </c>
      <c r="B34" s="8" t="s">
        <v>35</v>
      </c>
      <c r="C34" s="1" t="n">
        <v>30</v>
      </c>
      <c r="D34" s="1" t="n">
        <v>18.8</v>
      </c>
      <c r="E34" s="8" t="s">
        <v>36</v>
      </c>
      <c r="F34" s="1" t="n">
        <v>30</v>
      </c>
      <c r="G34" s="1" t="n">
        <v>20.5</v>
      </c>
      <c r="H34" s="8" t="s">
        <v>37</v>
      </c>
      <c r="I34" s="1" t="n">
        <v>30</v>
      </c>
      <c r="J34" s="1" t="n">
        <v>15.7</v>
      </c>
      <c r="K34" s="8" t="s">
        <v>38</v>
      </c>
      <c r="L34" s="1" t="n">
        <v>30</v>
      </c>
      <c r="M34" s="1" t="n">
        <v>24.2</v>
      </c>
    </row>
    <row r="35" customFormat="false" ht="15" hidden="false" customHeight="false" outlineLevel="0" collapsed="false">
      <c r="A35" s="8" t="s">
        <v>76</v>
      </c>
      <c r="B35" s="8" t="s">
        <v>77</v>
      </c>
      <c r="C35" s="1" t="n">
        <v>50</v>
      </c>
      <c r="D35" s="1" t="n">
        <v>41.2</v>
      </c>
      <c r="E35" s="8" t="s">
        <v>78</v>
      </c>
      <c r="F35" s="1" t="n">
        <v>50</v>
      </c>
      <c r="G35" s="1" t="n">
        <v>42.3</v>
      </c>
    </row>
    <row r="36" customFormat="false" ht="15" hidden="false" customHeight="false" outlineLevel="0" collapsed="false">
      <c r="A36" s="8" t="s">
        <v>79</v>
      </c>
      <c r="B36" s="8" t="s">
        <v>35</v>
      </c>
      <c r="C36" s="1" t="n">
        <v>30</v>
      </c>
      <c r="D36" s="1" t="n">
        <v>21.5</v>
      </c>
      <c r="E36" s="8" t="s">
        <v>36</v>
      </c>
      <c r="F36" s="1" t="n">
        <v>30</v>
      </c>
      <c r="G36" s="1" t="n">
        <v>23.8</v>
      </c>
      <c r="H36" s="8" t="s">
        <v>37</v>
      </c>
      <c r="I36" s="1" t="n">
        <v>30</v>
      </c>
      <c r="J36" s="1" t="n">
        <v>20.2</v>
      </c>
      <c r="K36" s="8" t="s">
        <v>38</v>
      </c>
      <c r="L36" s="1" t="n">
        <v>30</v>
      </c>
      <c r="M36" s="1" t="n">
        <v>27.9</v>
      </c>
    </row>
    <row r="37" customFormat="false" ht="15" hidden="false" customHeight="false" outlineLevel="0" collapsed="false">
      <c r="A37" s="8" t="s">
        <v>80</v>
      </c>
      <c r="B37" s="8" t="s">
        <v>35</v>
      </c>
      <c r="C37" s="1" t="n">
        <v>30</v>
      </c>
      <c r="D37" s="1" t="n">
        <v>28.9</v>
      </c>
      <c r="E37" s="8" t="s">
        <v>36</v>
      </c>
      <c r="F37" s="1" t="n">
        <v>30</v>
      </c>
      <c r="G37" s="1" t="n">
        <v>27.5</v>
      </c>
      <c r="H37" s="8" t="s">
        <v>37</v>
      </c>
      <c r="I37" s="1" t="n">
        <v>30</v>
      </c>
      <c r="J37" s="1" t="n">
        <v>29.8</v>
      </c>
      <c r="K37" s="8" t="s">
        <v>38</v>
      </c>
      <c r="L37" s="1" t="n">
        <v>30</v>
      </c>
      <c r="M37" s="1" t="n">
        <v>29.8</v>
      </c>
    </row>
    <row r="38" customFormat="false" ht="15" hidden="false" customHeight="false" outlineLevel="0" collapsed="false">
      <c r="A38" s="8" t="s">
        <v>81</v>
      </c>
      <c r="B38" s="8" t="s">
        <v>82</v>
      </c>
      <c r="C38" s="1" t="n">
        <v>40</v>
      </c>
      <c r="D38" s="1" t="n">
        <v>21.5</v>
      </c>
      <c r="E38" s="8" t="s">
        <v>83</v>
      </c>
      <c r="F38" s="1" t="n">
        <v>50</v>
      </c>
      <c r="G38" s="1" t="n">
        <v>32</v>
      </c>
    </row>
    <row r="39" customFormat="false" ht="15" hidden="false" customHeight="false" outlineLevel="0" collapsed="false">
      <c r="A39" s="8" t="s">
        <v>84</v>
      </c>
      <c r="B39" s="8" t="s">
        <v>25</v>
      </c>
      <c r="C39" s="1" t="n">
        <v>40</v>
      </c>
      <c r="D39" s="1" t="n">
        <v>20.6</v>
      </c>
      <c r="E39" s="8" t="s">
        <v>26</v>
      </c>
      <c r="F39" s="1" t="n">
        <v>50</v>
      </c>
      <c r="G39" s="1" t="n">
        <v>30.4</v>
      </c>
    </row>
    <row r="40" customFormat="false" ht="15" hidden="false" customHeight="false" outlineLevel="0" collapsed="false">
      <c r="A40" s="8" t="s">
        <v>85</v>
      </c>
      <c r="B40" s="8" t="s">
        <v>21</v>
      </c>
      <c r="C40" s="1" t="n">
        <v>60</v>
      </c>
      <c r="D40" s="1" t="n">
        <v>36</v>
      </c>
      <c r="E40" s="8" t="s">
        <v>23</v>
      </c>
      <c r="F40" s="1" t="n">
        <v>60</v>
      </c>
      <c r="G40" s="1" t="n">
        <v>41.5</v>
      </c>
    </row>
    <row r="41" customFormat="false" ht="15" hidden="false" customHeight="false" outlineLevel="0" collapsed="false">
      <c r="A41" s="8" t="s">
        <v>86</v>
      </c>
      <c r="B41" s="8" t="s">
        <v>21</v>
      </c>
      <c r="C41" s="1" t="n">
        <v>80</v>
      </c>
      <c r="D41" s="1" t="n">
        <v>46.2</v>
      </c>
    </row>
    <row r="42" customFormat="false" ht="15" hidden="false" customHeight="false" outlineLevel="0" collapsed="false">
      <c r="A42" s="8" t="s">
        <v>87</v>
      </c>
      <c r="B42" s="8" t="s">
        <v>21</v>
      </c>
      <c r="C42" s="1" t="n">
        <v>40</v>
      </c>
      <c r="D42" s="1" t="n">
        <v>23.9</v>
      </c>
      <c r="E42" s="8" t="s">
        <v>88</v>
      </c>
      <c r="F42" s="1" t="n">
        <v>30</v>
      </c>
      <c r="G42" s="1" t="n">
        <v>23.7</v>
      </c>
      <c r="H42" s="8" t="s">
        <v>89</v>
      </c>
      <c r="I42" s="1" t="n">
        <v>30</v>
      </c>
      <c r="J42" s="1" t="n">
        <v>23.1</v>
      </c>
    </row>
    <row r="43" customFormat="false" ht="15" hidden="false" customHeight="false" outlineLevel="0" collapsed="false">
      <c r="A43" s="8" t="s">
        <v>90</v>
      </c>
      <c r="B43" s="8" t="s">
        <v>21</v>
      </c>
      <c r="C43" s="1" t="n">
        <v>30</v>
      </c>
      <c r="D43" s="1" t="n">
        <v>19.2</v>
      </c>
      <c r="E43" s="8" t="s">
        <v>23</v>
      </c>
      <c r="F43" s="1" t="n">
        <v>70</v>
      </c>
      <c r="G43" s="1" t="n">
        <v>43.3</v>
      </c>
    </row>
    <row r="44" customFormat="false" ht="15" hidden="false" customHeight="false" outlineLevel="0" collapsed="false">
      <c r="A44" s="8" t="s">
        <v>91</v>
      </c>
      <c r="B44" s="8" t="s">
        <v>45</v>
      </c>
      <c r="C44" s="1" t="n">
        <v>80</v>
      </c>
      <c r="D44" s="1" t="n">
        <v>50.1</v>
      </c>
    </row>
    <row r="45" customFormat="false" ht="15" hidden="false" customHeight="false" outlineLevel="0" collapsed="false">
      <c r="A45" s="8" t="s">
        <v>92</v>
      </c>
      <c r="B45" s="8" t="s">
        <v>21</v>
      </c>
      <c r="C45" s="1" t="n">
        <v>80</v>
      </c>
      <c r="D45" s="1" t="n">
        <v>43.3</v>
      </c>
    </row>
    <row r="46" customFormat="false" ht="15" hidden="false" customHeight="false" outlineLevel="0" collapsed="false">
      <c r="A46" s="8" t="s">
        <v>93</v>
      </c>
      <c r="B46" s="8" t="s">
        <v>94</v>
      </c>
      <c r="C46" s="1" t="n">
        <v>60</v>
      </c>
      <c r="D46" s="1" t="n">
        <v>33.9</v>
      </c>
      <c r="E46" s="8" t="s">
        <v>48</v>
      </c>
      <c r="F46" s="1" t="n">
        <v>60</v>
      </c>
      <c r="G46" s="1" t="n">
        <v>53.4</v>
      </c>
    </row>
    <row r="47" customFormat="false" ht="15" hidden="false" customHeight="false" outlineLevel="0" collapsed="false">
      <c r="A47" s="8" t="s">
        <v>95</v>
      </c>
      <c r="B47" s="8" t="s">
        <v>31</v>
      </c>
      <c r="C47" s="1" t="n">
        <v>75</v>
      </c>
      <c r="D47" s="1" t="n">
        <v>38.4</v>
      </c>
      <c r="E47" s="8" t="s">
        <v>32</v>
      </c>
      <c r="F47" s="1" t="n">
        <v>25</v>
      </c>
      <c r="G47" s="1" t="n">
        <v>14.7</v>
      </c>
    </row>
    <row r="48" customFormat="false" ht="15" hidden="false" customHeight="false" outlineLevel="0" collapsed="false">
      <c r="A48" s="8" t="s">
        <v>96</v>
      </c>
      <c r="B48" s="8" t="s">
        <v>21</v>
      </c>
      <c r="C48" s="1" t="n">
        <v>25</v>
      </c>
      <c r="D48" s="1" t="n">
        <v>12.4</v>
      </c>
      <c r="E48" s="8" t="s">
        <v>23</v>
      </c>
      <c r="F48" s="1" t="n">
        <v>20</v>
      </c>
      <c r="G48" s="1" t="n">
        <v>12.7</v>
      </c>
      <c r="H48" s="8" t="s">
        <v>47</v>
      </c>
      <c r="I48" s="1" t="n">
        <v>55</v>
      </c>
      <c r="J48" s="1" t="n">
        <v>42.1</v>
      </c>
    </row>
    <row r="49" customFormat="false" ht="15" hidden="false" customHeight="false" outlineLevel="0" collapsed="false">
      <c r="A49" s="8" t="s">
        <v>97</v>
      </c>
      <c r="B49" s="8" t="s">
        <v>21</v>
      </c>
      <c r="C49" s="1" t="n">
        <v>25</v>
      </c>
      <c r="D49" s="1" t="n">
        <v>10.7</v>
      </c>
      <c r="E49" s="8" t="s">
        <v>23</v>
      </c>
      <c r="F49" s="1" t="n">
        <v>13</v>
      </c>
      <c r="G49" s="1" t="n">
        <v>7.1</v>
      </c>
      <c r="H49" s="8" t="s">
        <v>47</v>
      </c>
      <c r="I49" s="1" t="n">
        <v>62</v>
      </c>
      <c r="J49" s="1" t="n">
        <v>47.2</v>
      </c>
    </row>
    <row r="50" customFormat="false" ht="15" hidden="false" customHeight="false" outlineLevel="0" collapsed="false">
      <c r="A50" s="8" t="s">
        <v>98</v>
      </c>
      <c r="B50" s="8" t="s">
        <v>47</v>
      </c>
      <c r="C50" s="1" t="n">
        <v>70</v>
      </c>
      <c r="D50" s="1" t="n">
        <v>43.9</v>
      </c>
    </row>
    <row r="51" customFormat="false" ht="15" hidden="false" customHeight="false" outlineLevel="0" collapsed="false">
      <c r="A51" s="8" t="s">
        <v>99</v>
      </c>
      <c r="B51" s="8" t="s">
        <v>47</v>
      </c>
      <c r="C51" s="1" t="n">
        <v>70</v>
      </c>
      <c r="D51" s="1" t="n">
        <v>46</v>
      </c>
    </row>
    <row r="52" customFormat="false" ht="15" hidden="false" customHeight="false" outlineLevel="0" collapsed="false">
      <c r="A52" s="8" t="s">
        <v>100</v>
      </c>
      <c r="B52" s="8" t="s">
        <v>47</v>
      </c>
      <c r="C52" s="1" t="n">
        <v>70</v>
      </c>
      <c r="D52" s="1" t="n">
        <v>47.9</v>
      </c>
    </row>
    <row r="53" customFormat="false" ht="15" hidden="false" customHeight="false" outlineLevel="0" collapsed="false">
      <c r="A53" s="8" t="s">
        <v>101</v>
      </c>
      <c r="B53" s="8" t="s">
        <v>21</v>
      </c>
      <c r="C53" s="1" t="n">
        <v>70</v>
      </c>
      <c r="D53" s="1" t="n">
        <v>47</v>
      </c>
      <c r="E53" s="8" t="s">
        <v>23</v>
      </c>
      <c r="F53" s="1" t="n">
        <v>30</v>
      </c>
      <c r="G53" s="1" t="n">
        <v>20.5</v>
      </c>
    </row>
    <row r="54" customFormat="false" ht="15" hidden="false" customHeight="false" outlineLevel="0" collapsed="false">
      <c r="A54" s="8" t="s">
        <v>102</v>
      </c>
      <c r="B54" s="8" t="s">
        <v>21</v>
      </c>
      <c r="C54" s="1" t="n">
        <v>80</v>
      </c>
      <c r="D54" s="1" t="n">
        <v>48.2</v>
      </c>
    </row>
    <row r="55" customFormat="false" ht="15" hidden="false" customHeight="false" outlineLevel="0" collapsed="false">
      <c r="A55" s="8" t="s">
        <v>103</v>
      </c>
      <c r="B55" s="8" t="s">
        <v>21</v>
      </c>
      <c r="C55" s="1" t="n">
        <v>70</v>
      </c>
      <c r="D55" s="1" t="n">
        <v>36</v>
      </c>
      <c r="E55" s="8" t="s">
        <v>23</v>
      </c>
      <c r="F55" s="1" t="n">
        <v>30</v>
      </c>
      <c r="G55" s="1" t="n">
        <v>19.3</v>
      </c>
    </row>
    <row r="56" customFormat="false" ht="15" hidden="false" customHeight="false" outlineLevel="0" collapsed="false">
      <c r="A56" s="8" t="s">
        <v>104</v>
      </c>
      <c r="B56" s="8" t="s">
        <v>35</v>
      </c>
      <c r="C56" s="1" t="n">
        <v>30</v>
      </c>
      <c r="D56" s="1" t="n">
        <v>20.1</v>
      </c>
      <c r="E56" s="8" t="s">
        <v>36</v>
      </c>
      <c r="F56" s="1" t="n">
        <v>30</v>
      </c>
      <c r="G56" s="1" t="n">
        <v>21.2</v>
      </c>
      <c r="H56" s="8" t="s">
        <v>37</v>
      </c>
      <c r="I56" s="1" t="n">
        <v>30</v>
      </c>
      <c r="J56" s="1" t="n">
        <v>15.2</v>
      </c>
      <c r="K56" s="8" t="s">
        <v>38</v>
      </c>
      <c r="L56" s="1" t="n">
        <v>30</v>
      </c>
      <c r="M56" s="1" t="n">
        <v>23.9</v>
      </c>
    </row>
    <row r="57" customFormat="false" ht="15" hidden="false" customHeight="false" outlineLevel="0" collapsed="false">
      <c r="A57" s="8" t="s">
        <v>105</v>
      </c>
      <c r="B57" s="8" t="s">
        <v>35</v>
      </c>
      <c r="C57" s="1" t="n">
        <v>30</v>
      </c>
      <c r="D57" s="1" t="n">
        <v>22.4</v>
      </c>
      <c r="E57" s="8" t="s">
        <v>36</v>
      </c>
      <c r="F57" s="1" t="n">
        <v>30</v>
      </c>
      <c r="G57" s="1" t="n">
        <v>22</v>
      </c>
      <c r="H57" s="8" t="s">
        <v>37</v>
      </c>
      <c r="I57" s="1" t="n">
        <v>30</v>
      </c>
      <c r="J57" s="1" t="n">
        <v>23.5</v>
      </c>
      <c r="K57" s="8" t="s">
        <v>38</v>
      </c>
      <c r="L57" s="1" t="n">
        <v>30</v>
      </c>
      <c r="M57" s="1" t="n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078125" defaultRowHeight="15" zeroHeight="false" outlineLevelRow="0" outlineLevelCol="0"/>
  <cols>
    <col collapsed="false" customWidth="true" hidden="false" outlineLevel="0" max="1" min="1" style="1" width="36.53"/>
    <col collapsed="false" customWidth="true" hidden="false" outlineLevel="0" max="2" min="2" style="1" width="45.08"/>
    <col collapsed="false" customWidth="true" hidden="false" outlineLevel="0" max="3" min="3" style="1" width="26.84"/>
    <col collapsed="false" customWidth="true" hidden="false" outlineLevel="0" max="4" min="4" style="1" width="23.07"/>
    <col collapsed="false" customWidth="true" hidden="false" outlineLevel="0" max="5" min="5" style="1" width="36.77"/>
    <col collapsed="false" customWidth="true" hidden="false" outlineLevel="0" max="6" min="6" style="1" width="26.84"/>
    <col collapsed="false" customWidth="true" hidden="false" outlineLevel="0" max="7" min="7" style="1" width="23.07"/>
    <col collapsed="false" customWidth="true" hidden="false" outlineLevel="0" max="8" min="8" style="1" width="23.61"/>
    <col collapsed="false" customWidth="true" hidden="false" outlineLevel="0" max="9" min="9" style="1" width="26.84"/>
    <col collapsed="false" customWidth="true" hidden="false" outlineLevel="0" max="10" min="10" style="1" width="23.07"/>
    <col collapsed="false" customWidth="true" hidden="false" outlineLevel="0" max="11" min="11" style="1" width="45.08"/>
    <col collapsed="false" customWidth="true" hidden="false" outlineLevel="0" max="12" min="12" style="1" width="26.84"/>
    <col collapsed="false" customWidth="true" hidden="false" outlineLevel="0" max="13" min="13" style="1" width="23.07"/>
    <col collapsed="false" customWidth="true" hidden="false" outlineLevel="0" max="16384" min="16384" style="0" width="9.63"/>
  </cols>
  <sheetData>
    <row r="1" customFormat="false" ht="34.5" hidden="false" customHeight="true" outlineLevel="0" collapsed="false">
      <c r="A1" s="6" t="s">
        <v>106</v>
      </c>
    </row>
    <row r="2" customFormat="false" ht="34.5" hidden="false" customHeight="true" outlineLevel="0" collapsed="false">
      <c r="A2" s="6"/>
    </row>
    <row r="3" customFormat="false" ht="15" hidden="false" customHeight="false" outlineLevel="0" collapsed="false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7" t="s">
        <v>19</v>
      </c>
    </row>
    <row r="4" customFormat="false" ht="15" hidden="false" customHeight="false" outlineLevel="0" collapsed="false">
      <c r="A4" s="8" t="s">
        <v>20</v>
      </c>
      <c r="B4" s="8" t="s">
        <v>21</v>
      </c>
      <c r="C4" s="1" t="n">
        <v>120</v>
      </c>
      <c r="D4" s="1" t="n">
        <v>63.2</v>
      </c>
    </row>
    <row r="5" customFormat="false" ht="15" hidden="false" customHeight="false" outlineLevel="0" collapsed="false">
      <c r="A5" s="8" t="s">
        <v>22</v>
      </c>
      <c r="B5" s="8" t="s">
        <v>21</v>
      </c>
      <c r="C5" s="1" t="n">
        <v>50</v>
      </c>
      <c r="D5" s="1" t="n">
        <v>25</v>
      </c>
      <c r="E5" s="8" t="s">
        <v>23</v>
      </c>
      <c r="F5" s="1" t="n">
        <v>60</v>
      </c>
      <c r="G5" s="1" t="n">
        <v>39.2</v>
      </c>
    </row>
    <row r="6" customFormat="false" ht="15" hidden="false" customHeight="false" outlineLevel="0" collapsed="false">
      <c r="A6" s="8" t="s">
        <v>24</v>
      </c>
      <c r="B6" s="8" t="s">
        <v>21</v>
      </c>
      <c r="C6" s="1" t="n">
        <v>80</v>
      </c>
      <c r="D6" s="1" t="n">
        <v>32.9</v>
      </c>
      <c r="E6" s="8" t="s">
        <v>40</v>
      </c>
      <c r="F6" s="1" t="n">
        <v>30</v>
      </c>
      <c r="G6" s="1" t="n">
        <v>17.5</v>
      </c>
    </row>
    <row r="7" customFormat="false" ht="15" hidden="false" customHeight="false" outlineLevel="0" collapsed="false">
      <c r="A7" s="8" t="s">
        <v>27</v>
      </c>
      <c r="B7" s="8" t="s">
        <v>21</v>
      </c>
      <c r="C7" s="1" t="n">
        <v>60</v>
      </c>
      <c r="D7" s="1" t="n">
        <v>26.9</v>
      </c>
      <c r="E7" s="8" t="s">
        <v>28</v>
      </c>
      <c r="F7" s="1" t="n">
        <v>100</v>
      </c>
      <c r="G7" s="1" t="n">
        <v>60.6</v>
      </c>
      <c r="H7" s="8" t="s">
        <v>29</v>
      </c>
      <c r="I7" s="1" t="n">
        <v>100</v>
      </c>
      <c r="J7" s="1" t="n">
        <v>58.1</v>
      </c>
    </row>
    <row r="8" customFormat="false" ht="15" hidden="false" customHeight="false" outlineLevel="0" collapsed="false">
      <c r="A8" s="8" t="s">
        <v>30</v>
      </c>
      <c r="B8" s="8" t="s">
        <v>107</v>
      </c>
      <c r="C8" s="1" t="n">
        <v>95</v>
      </c>
      <c r="D8" s="1" t="n">
        <v>52</v>
      </c>
      <c r="E8" s="8" t="s">
        <v>108</v>
      </c>
      <c r="F8" s="1" t="n">
        <v>25</v>
      </c>
      <c r="G8" s="1" t="n">
        <v>15.9</v>
      </c>
    </row>
    <row r="9" customFormat="false" ht="15" hidden="false" customHeight="false" outlineLevel="0" collapsed="false">
      <c r="A9" s="8" t="s">
        <v>33</v>
      </c>
      <c r="B9" s="8" t="s">
        <v>21</v>
      </c>
      <c r="C9" s="1" t="n">
        <v>90</v>
      </c>
      <c r="D9" s="1" t="n">
        <v>57.4</v>
      </c>
      <c r="E9" s="8" t="s">
        <v>23</v>
      </c>
      <c r="F9" s="1" t="n">
        <v>30</v>
      </c>
      <c r="G9" s="1" t="n">
        <v>23.6</v>
      </c>
    </row>
    <row r="10" customFormat="false" ht="15" hidden="false" customHeight="false" outlineLevel="0" collapsed="false">
      <c r="A10" s="8" t="s">
        <v>34</v>
      </c>
      <c r="B10" s="8" t="s">
        <v>35</v>
      </c>
      <c r="C10" s="1" t="n">
        <v>30</v>
      </c>
      <c r="D10" s="1" t="n">
        <v>20</v>
      </c>
      <c r="E10" s="8" t="s">
        <v>109</v>
      </c>
      <c r="F10" s="1" t="n">
        <v>30</v>
      </c>
      <c r="G10" s="1" t="n">
        <v>26</v>
      </c>
      <c r="H10" s="8" t="s">
        <v>37</v>
      </c>
      <c r="I10" s="1" t="n">
        <v>30</v>
      </c>
      <c r="J10" s="1" t="n">
        <v>27.5</v>
      </c>
      <c r="K10" s="8" t="s">
        <v>38</v>
      </c>
      <c r="L10" s="1" t="n">
        <v>30</v>
      </c>
      <c r="M10" s="1" t="n">
        <v>29.5</v>
      </c>
    </row>
    <row r="11" customFormat="false" ht="15" hidden="false" customHeight="false" outlineLevel="0" collapsed="false">
      <c r="A11" s="8" t="s">
        <v>39</v>
      </c>
      <c r="B11" s="8" t="s">
        <v>21</v>
      </c>
      <c r="C11" s="1" t="n">
        <v>40</v>
      </c>
      <c r="D11" s="1" t="n">
        <v>18.3</v>
      </c>
      <c r="E11" s="8" t="s">
        <v>40</v>
      </c>
      <c r="F11" s="1" t="n">
        <v>90</v>
      </c>
      <c r="G11" s="1" t="n">
        <v>48.5</v>
      </c>
    </row>
    <row r="12" customFormat="false" ht="15" hidden="false" customHeight="false" outlineLevel="0" collapsed="false">
      <c r="A12" s="8" t="s">
        <v>41</v>
      </c>
      <c r="B12" s="8" t="s">
        <v>107</v>
      </c>
      <c r="C12" s="1" t="n">
        <v>95</v>
      </c>
      <c r="D12" s="1" t="n">
        <v>55.1</v>
      </c>
      <c r="E12" s="8" t="s">
        <v>108</v>
      </c>
      <c r="F12" s="1" t="n">
        <v>25</v>
      </c>
      <c r="G12" s="1" t="n">
        <v>16.4</v>
      </c>
    </row>
    <row r="13" customFormat="false" ht="15" hidden="false" customHeight="false" outlineLevel="0" collapsed="false">
      <c r="A13" s="8" t="s">
        <v>110</v>
      </c>
      <c r="B13" s="8" t="s">
        <v>21</v>
      </c>
      <c r="C13" s="1" t="n">
        <v>40</v>
      </c>
      <c r="D13" s="1" t="n">
        <v>17</v>
      </c>
      <c r="E13" s="8" t="s">
        <v>40</v>
      </c>
      <c r="F13" s="1" t="n">
        <v>90</v>
      </c>
      <c r="G13" s="1" t="n">
        <v>54.9</v>
      </c>
    </row>
    <row r="14" customFormat="false" ht="15" hidden="false" customHeight="false" outlineLevel="0" collapsed="false">
      <c r="A14" s="8" t="s">
        <v>42</v>
      </c>
      <c r="B14" s="8" t="s">
        <v>111</v>
      </c>
      <c r="C14" s="1" t="n">
        <v>30</v>
      </c>
      <c r="D14" s="1" t="n">
        <v>17.2</v>
      </c>
      <c r="E14" s="8" t="s">
        <v>112</v>
      </c>
      <c r="F14" s="1" t="n">
        <v>50</v>
      </c>
      <c r="G14" s="1" t="n">
        <v>25.2</v>
      </c>
    </row>
    <row r="15" customFormat="false" ht="15" hidden="false" customHeight="false" outlineLevel="0" collapsed="false">
      <c r="A15" s="8" t="s">
        <v>43</v>
      </c>
      <c r="B15" s="8" t="s">
        <v>21</v>
      </c>
      <c r="C15" s="1" t="n">
        <v>80</v>
      </c>
      <c r="D15" s="1" t="n">
        <v>39.3</v>
      </c>
      <c r="E15" s="8" t="s">
        <v>23</v>
      </c>
      <c r="F15" s="1" t="n">
        <v>40</v>
      </c>
      <c r="G15" s="1" t="n">
        <v>27.2</v>
      </c>
    </row>
    <row r="16" customFormat="false" ht="15" hidden="false" customHeight="false" outlineLevel="0" collapsed="false">
      <c r="A16" s="8" t="s">
        <v>46</v>
      </c>
      <c r="B16" s="8" t="s">
        <v>21</v>
      </c>
      <c r="C16" s="1" t="n">
        <v>30</v>
      </c>
      <c r="D16" s="1" t="n">
        <v>8.4</v>
      </c>
      <c r="E16" s="8" t="s">
        <v>47</v>
      </c>
      <c r="F16" s="1" t="n">
        <v>30</v>
      </c>
      <c r="G16" s="1" t="n">
        <v>20.2</v>
      </c>
      <c r="H16" s="8" t="s">
        <v>48</v>
      </c>
      <c r="I16" s="1" t="n">
        <v>40</v>
      </c>
      <c r="J16" s="1" t="n">
        <v>27.9</v>
      </c>
    </row>
    <row r="17" customFormat="false" ht="15" hidden="false" customHeight="false" outlineLevel="0" collapsed="false">
      <c r="A17" s="8" t="s">
        <v>49</v>
      </c>
      <c r="B17" s="8" t="s">
        <v>21</v>
      </c>
      <c r="C17" s="1" t="n">
        <v>80</v>
      </c>
      <c r="D17" s="1" t="n">
        <v>37.6</v>
      </c>
      <c r="E17" s="8" t="s">
        <v>23</v>
      </c>
      <c r="F17" s="1" t="n">
        <v>90</v>
      </c>
      <c r="G17" s="1" t="n">
        <v>42.9</v>
      </c>
    </row>
    <row r="18" customFormat="false" ht="15" hidden="false" customHeight="false" outlineLevel="0" collapsed="false">
      <c r="A18" s="8" t="s">
        <v>52</v>
      </c>
      <c r="B18" s="8" t="s">
        <v>21</v>
      </c>
      <c r="C18" s="1" t="n">
        <v>40</v>
      </c>
      <c r="D18" s="1" t="n">
        <v>12</v>
      </c>
      <c r="E18" s="8" t="s">
        <v>48</v>
      </c>
      <c r="F18" s="1" t="n">
        <v>60</v>
      </c>
      <c r="G18" s="1" t="n">
        <v>46.4</v>
      </c>
    </row>
    <row r="19" customFormat="false" ht="15" hidden="false" customHeight="false" outlineLevel="0" collapsed="false">
      <c r="A19" s="8" t="s">
        <v>54</v>
      </c>
      <c r="B19" s="8" t="s">
        <v>21</v>
      </c>
      <c r="C19" s="1" t="n">
        <v>90</v>
      </c>
      <c r="D19" s="1" t="n">
        <v>58.1</v>
      </c>
      <c r="E19" s="8" t="s">
        <v>23</v>
      </c>
      <c r="F19" s="1" t="n">
        <v>30</v>
      </c>
      <c r="G19" s="1" t="n">
        <v>21.4</v>
      </c>
    </row>
    <row r="20" customFormat="false" ht="15" hidden="false" customHeight="false" outlineLevel="0" collapsed="false">
      <c r="A20" s="8" t="s">
        <v>55</v>
      </c>
      <c r="B20" s="8" t="s">
        <v>21</v>
      </c>
      <c r="C20" s="1" t="n">
        <v>110</v>
      </c>
      <c r="D20" s="1" t="n">
        <v>53.3</v>
      </c>
    </row>
    <row r="21" customFormat="false" ht="15" hidden="false" customHeight="false" outlineLevel="0" collapsed="false">
      <c r="A21" s="8" t="s">
        <v>56</v>
      </c>
      <c r="B21" s="8" t="s">
        <v>113</v>
      </c>
      <c r="C21" s="1" t="n">
        <v>30</v>
      </c>
      <c r="D21" s="1" t="n">
        <v>16.3</v>
      </c>
      <c r="E21" s="8" t="s">
        <v>58</v>
      </c>
      <c r="F21" s="1" t="n">
        <v>40</v>
      </c>
      <c r="G21" s="1" t="n">
        <v>23.2</v>
      </c>
      <c r="H21" s="8" t="s">
        <v>59</v>
      </c>
      <c r="I21" s="1" t="n">
        <v>30</v>
      </c>
      <c r="J21" s="1" t="n">
        <v>19.5</v>
      </c>
    </row>
    <row r="22" customFormat="false" ht="15" hidden="false" customHeight="false" outlineLevel="0" collapsed="false">
      <c r="A22" s="8" t="s">
        <v>60</v>
      </c>
      <c r="B22" s="8" t="s">
        <v>37</v>
      </c>
      <c r="C22" s="1" t="n">
        <v>20</v>
      </c>
      <c r="D22" s="1" t="n">
        <v>11.1</v>
      </c>
      <c r="E22" s="8" t="s">
        <v>35</v>
      </c>
      <c r="F22" s="1" t="n">
        <v>25</v>
      </c>
      <c r="G22" s="1" t="n">
        <v>11.1</v>
      </c>
      <c r="H22" s="8" t="s">
        <v>36</v>
      </c>
      <c r="I22" s="1" t="n">
        <v>25</v>
      </c>
      <c r="J22" s="1" t="n">
        <v>12.9</v>
      </c>
      <c r="K22" s="8" t="s">
        <v>48</v>
      </c>
      <c r="L22" s="1" t="n">
        <v>30</v>
      </c>
      <c r="M22" s="1" t="n">
        <v>25</v>
      </c>
    </row>
    <row r="23" customFormat="false" ht="15" hidden="false" customHeight="false" outlineLevel="0" collapsed="false">
      <c r="A23" s="8" t="s">
        <v>61</v>
      </c>
      <c r="B23" s="8" t="s">
        <v>114</v>
      </c>
      <c r="C23" s="1" t="n">
        <v>20</v>
      </c>
      <c r="D23" s="1" t="n">
        <v>11.7</v>
      </c>
      <c r="E23" s="8" t="s">
        <v>107</v>
      </c>
      <c r="F23" s="1" t="n">
        <v>100</v>
      </c>
      <c r="G23" s="1" t="n">
        <v>43.8</v>
      </c>
    </row>
    <row r="24" customFormat="false" ht="15" hidden="false" customHeight="false" outlineLevel="0" collapsed="false">
      <c r="A24" s="8" t="s">
        <v>62</v>
      </c>
      <c r="B24" s="8" t="s">
        <v>21</v>
      </c>
      <c r="C24" s="1" t="n">
        <v>45</v>
      </c>
      <c r="D24" s="1" t="n">
        <v>16.5</v>
      </c>
      <c r="E24" s="8" t="s">
        <v>23</v>
      </c>
      <c r="F24" s="1" t="n">
        <v>46</v>
      </c>
      <c r="G24" s="1" t="n">
        <v>26.1</v>
      </c>
      <c r="H24" s="8" t="s">
        <v>47</v>
      </c>
      <c r="I24" s="1" t="n">
        <v>36</v>
      </c>
      <c r="J24" s="1" t="n">
        <v>29.9</v>
      </c>
    </row>
    <row r="25" customFormat="false" ht="15" hidden="false" customHeight="false" outlineLevel="0" collapsed="false">
      <c r="A25" s="8" t="s">
        <v>63</v>
      </c>
      <c r="B25" s="8" t="s">
        <v>35</v>
      </c>
      <c r="C25" s="1" t="n">
        <v>30</v>
      </c>
      <c r="D25" s="1" t="n">
        <v>16.2</v>
      </c>
      <c r="E25" s="8" t="s">
        <v>109</v>
      </c>
      <c r="F25" s="1" t="n">
        <v>30</v>
      </c>
      <c r="G25" s="1" t="n">
        <v>17.1</v>
      </c>
      <c r="H25" s="8" t="s">
        <v>37</v>
      </c>
      <c r="I25" s="1" t="n">
        <v>30</v>
      </c>
      <c r="J25" s="1" t="n">
        <v>13.4</v>
      </c>
      <c r="K25" s="8" t="s">
        <v>38</v>
      </c>
      <c r="L25" s="1" t="n">
        <v>30</v>
      </c>
      <c r="M25" s="1" t="n">
        <v>25.7</v>
      </c>
    </row>
    <row r="26" customFormat="false" ht="15" hidden="false" customHeight="false" outlineLevel="0" collapsed="false">
      <c r="A26" s="8" t="s">
        <v>64</v>
      </c>
      <c r="B26" s="8" t="s">
        <v>35</v>
      </c>
      <c r="C26" s="1" t="n">
        <v>30</v>
      </c>
      <c r="D26" s="1" t="n">
        <v>15.2</v>
      </c>
      <c r="E26" s="8" t="s">
        <v>109</v>
      </c>
      <c r="F26" s="1" t="n">
        <v>30</v>
      </c>
      <c r="G26" s="1" t="n">
        <v>17.9</v>
      </c>
      <c r="H26" s="8" t="s">
        <v>37</v>
      </c>
      <c r="I26" s="1" t="n">
        <v>30</v>
      </c>
      <c r="J26" s="1" t="n">
        <v>7.7</v>
      </c>
      <c r="K26" s="8" t="s">
        <v>38</v>
      </c>
      <c r="L26" s="1" t="n">
        <v>30</v>
      </c>
      <c r="M26" s="1" t="n">
        <v>24</v>
      </c>
    </row>
    <row r="27" customFormat="false" ht="15" hidden="false" customHeight="false" outlineLevel="0" collapsed="false">
      <c r="A27" s="8" t="s">
        <v>65</v>
      </c>
      <c r="B27" s="8" t="s">
        <v>66</v>
      </c>
      <c r="C27" s="1" t="n">
        <v>30</v>
      </c>
      <c r="D27" s="1" t="n">
        <v>14.1</v>
      </c>
      <c r="E27" s="8" t="s">
        <v>67</v>
      </c>
      <c r="F27" s="1" t="n">
        <v>20</v>
      </c>
      <c r="G27" s="1" t="n">
        <v>13</v>
      </c>
      <c r="H27" s="8" t="s">
        <v>68</v>
      </c>
      <c r="I27" s="1" t="n">
        <v>20</v>
      </c>
      <c r="J27" s="1" t="n">
        <v>13.7</v>
      </c>
      <c r="K27" s="8" t="s">
        <v>69</v>
      </c>
      <c r="L27" s="1" t="n">
        <v>30</v>
      </c>
      <c r="M27" s="1" t="n">
        <v>23.3</v>
      </c>
    </row>
    <row r="28" customFormat="false" ht="15" hidden="false" customHeight="false" outlineLevel="0" collapsed="false">
      <c r="A28" s="8" t="s">
        <v>70</v>
      </c>
      <c r="B28" s="8" t="s">
        <v>115</v>
      </c>
      <c r="C28" s="1" t="n">
        <v>50</v>
      </c>
      <c r="D28" s="1" t="n">
        <v>29.8</v>
      </c>
      <c r="E28" s="8" t="s">
        <v>116</v>
      </c>
      <c r="F28" s="1" t="n">
        <v>20</v>
      </c>
      <c r="G28" s="1" t="n">
        <v>13.4</v>
      </c>
    </row>
    <row r="29" customFormat="false" ht="15" hidden="false" customHeight="false" outlineLevel="0" collapsed="false">
      <c r="A29" s="8" t="s">
        <v>71</v>
      </c>
      <c r="B29" s="8" t="s">
        <v>35</v>
      </c>
      <c r="C29" s="1" t="n">
        <v>30</v>
      </c>
      <c r="D29" s="1" t="n">
        <v>18.7</v>
      </c>
      <c r="E29" s="8" t="s">
        <v>109</v>
      </c>
      <c r="F29" s="1" t="n">
        <v>30</v>
      </c>
      <c r="G29" s="1" t="n">
        <v>20.6</v>
      </c>
      <c r="H29" s="8" t="s">
        <v>37</v>
      </c>
      <c r="I29" s="1" t="n">
        <v>30</v>
      </c>
      <c r="J29" s="1" t="n">
        <v>15.3</v>
      </c>
      <c r="K29" s="8" t="s">
        <v>38</v>
      </c>
      <c r="L29" s="1" t="n">
        <v>30</v>
      </c>
      <c r="M29" s="1" t="n">
        <v>25.5</v>
      </c>
    </row>
    <row r="30" customFormat="false" ht="15" hidden="false" customHeight="false" outlineLevel="0" collapsed="false">
      <c r="A30" s="8" t="s">
        <v>72</v>
      </c>
      <c r="B30" s="8" t="s">
        <v>21</v>
      </c>
      <c r="C30" s="1" t="n">
        <v>75</v>
      </c>
      <c r="D30" s="1" t="n">
        <v>33.8</v>
      </c>
      <c r="E30" s="8" t="s">
        <v>23</v>
      </c>
      <c r="F30" s="1" t="n">
        <v>50</v>
      </c>
      <c r="G30" s="1" t="n">
        <v>30.5</v>
      </c>
    </row>
    <row r="31" customFormat="false" ht="15" hidden="false" customHeight="false" outlineLevel="0" collapsed="false">
      <c r="A31" s="8" t="s">
        <v>73</v>
      </c>
      <c r="B31" s="8" t="s">
        <v>21</v>
      </c>
      <c r="C31" s="1" t="n">
        <v>50</v>
      </c>
      <c r="D31" s="1" t="n">
        <v>21.1</v>
      </c>
      <c r="E31" s="8" t="s">
        <v>23</v>
      </c>
      <c r="F31" s="1" t="n">
        <v>50</v>
      </c>
      <c r="G31" s="1" t="n">
        <v>33.4</v>
      </c>
    </row>
    <row r="32" customFormat="false" ht="15" hidden="false" customHeight="false" outlineLevel="0" collapsed="false">
      <c r="A32" s="8" t="s">
        <v>74</v>
      </c>
      <c r="B32" s="8" t="s">
        <v>117</v>
      </c>
      <c r="C32" s="1" t="n">
        <v>44</v>
      </c>
      <c r="D32" s="1" t="n">
        <v>25.9</v>
      </c>
      <c r="E32" s="8" t="s">
        <v>118</v>
      </c>
      <c r="F32" s="1" t="n">
        <v>36</v>
      </c>
      <c r="G32" s="1" t="n">
        <v>19</v>
      </c>
    </row>
    <row r="33" customFormat="false" ht="15" hidden="false" customHeight="false" outlineLevel="0" collapsed="false">
      <c r="A33" s="8" t="s">
        <v>119</v>
      </c>
      <c r="B33" s="8" t="s">
        <v>107</v>
      </c>
      <c r="C33" s="1" t="n">
        <v>95</v>
      </c>
      <c r="D33" s="1" t="n">
        <v>46.5</v>
      </c>
      <c r="E33" s="8" t="s">
        <v>108</v>
      </c>
      <c r="F33" s="1" t="n">
        <v>25</v>
      </c>
      <c r="G33" s="1" t="n">
        <v>15.9</v>
      </c>
    </row>
    <row r="34" customFormat="false" ht="15" hidden="false" customHeight="false" outlineLevel="0" collapsed="false">
      <c r="A34" s="8" t="s">
        <v>75</v>
      </c>
      <c r="B34" s="8" t="s">
        <v>35</v>
      </c>
      <c r="C34" s="1" t="n">
        <v>30</v>
      </c>
      <c r="D34" s="1" t="n">
        <v>21.1</v>
      </c>
      <c r="E34" s="8" t="s">
        <v>109</v>
      </c>
      <c r="F34" s="1" t="n">
        <v>30</v>
      </c>
      <c r="G34" s="1" t="n">
        <v>23</v>
      </c>
      <c r="H34" s="8" t="s">
        <v>37</v>
      </c>
      <c r="I34" s="1" t="n">
        <v>30</v>
      </c>
      <c r="J34" s="1" t="n">
        <v>20.6</v>
      </c>
      <c r="K34" s="8" t="s">
        <v>38</v>
      </c>
      <c r="L34" s="1" t="n">
        <v>30</v>
      </c>
      <c r="M34" s="1" t="n">
        <v>27.2</v>
      </c>
    </row>
    <row r="35" customFormat="false" ht="15" hidden="false" customHeight="false" outlineLevel="0" collapsed="false">
      <c r="A35" s="8" t="s">
        <v>76</v>
      </c>
      <c r="B35" s="8" t="s">
        <v>77</v>
      </c>
      <c r="C35" s="1" t="n">
        <v>80</v>
      </c>
      <c r="D35" s="1" t="n">
        <v>60.5</v>
      </c>
      <c r="E35" s="8" t="s">
        <v>78</v>
      </c>
      <c r="F35" s="1" t="n">
        <v>50</v>
      </c>
      <c r="G35" s="1" t="n">
        <v>34.3</v>
      </c>
    </row>
    <row r="36" customFormat="false" ht="15" hidden="false" customHeight="false" outlineLevel="0" collapsed="false">
      <c r="A36" s="8" t="s">
        <v>79</v>
      </c>
      <c r="B36" s="8" t="s">
        <v>35</v>
      </c>
      <c r="C36" s="1" t="n">
        <v>30</v>
      </c>
      <c r="D36" s="1" t="n">
        <v>20</v>
      </c>
      <c r="E36" s="8" t="s">
        <v>109</v>
      </c>
      <c r="F36" s="1" t="n">
        <v>30</v>
      </c>
      <c r="G36" s="1" t="n">
        <v>25.8</v>
      </c>
      <c r="H36" s="8" t="s">
        <v>37</v>
      </c>
      <c r="I36" s="1" t="n">
        <v>30</v>
      </c>
      <c r="J36" s="1" t="n">
        <v>21.3</v>
      </c>
      <c r="K36" s="8" t="s">
        <v>38</v>
      </c>
      <c r="L36" s="1" t="n">
        <v>30</v>
      </c>
      <c r="M36" s="1" t="n">
        <v>29.3</v>
      </c>
    </row>
    <row r="37" customFormat="false" ht="15" hidden="false" customHeight="false" outlineLevel="0" collapsed="false">
      <c r="A37" s="8" t="s">
        <v>80</v>
      </c>
      <c r="B37" s="8" t="s">
        <v>35</v>
      </c>
      <c r="C37" s="1" t="n">
        <v>30</v>
      </c>
      <c r="D37" s="1" t="n">
        <v>21.1</v>
      </c>
      <c r="E37" s="8" t="s">
        <v>109</v>
      </c>
      <c r="F37" s="1" t="n">
        <v>30</v>
      </c>
      <c r="G37" s="1" t="n">
        <v>27.9</v>
      </c>
      <c r="H37" s="8" t="s">
        <v>37</v>
      </c>
      <c r="I37" s="1" t="n">
        <v>30</v>
      </c>
      <c r="J37" s="1" t="n">
        <v>26.6</v>
      </c>
      <c r="K37" s="8" t="s">
        <v>38</v>
      </c>
      <c r="L37" s="1" t="n">
        <v>30</v>
      </c>
      <c r="M37" s="1" t="n">
        <v>30</v>
      </c>
    </row>
    <row r="38" customFormat="false" ht="15" hidden="false" customHeight="false" outlineLevel="0" collapsed="false">
      <c r="A38" s="8" t="s">
        <v>81</v>
      </c>
      <c r="B38" s="8" t="s">
        <v>82</v>
      </c>
      <c r="C38" s="1" t="n">
        <v>55</v>
      </c>
      <c r="D38" s="1" t="n">
        <v>35.9</v>
      </c>
      <c r="E38" s="8" t="s">
        <v>83</v>
      </c>
      <c r="F38" s="1" t="n">
        <v>65</v>
      </c>
      <c r="G38" s="1" t="n">
        <v>38.9</v>
      </c>
    </row>
    <row r="39" customFormat="false" ht="15" hidden="false" customHeight="false" outlineLevel="0" collapsed="false">
      <c r="A39" s="8" t="s">
        <v>84</v>
      </c>
      <c r="B39" s="8" t="s">
        <v>25</v>
      </c>
      <c r="C39" s="1" t="n">
        <v>55</v>
      </c>
      <c r="D39" s="1" t="n">
        <v>36</v>
      </c>
      <c r="E39" s="8" t="s">
        <v>26</v>
      </c>
      <c r="F39" s="1" t="n">
        <v>65</v>
      </c>
      <c r="G39" s="1" t="n">
        <v>39.1</v>
      </c>
    </row>
    <row r="40" customFormat="false" ht="15" hidden="false" customHeight="false" outlineLevel="0" collapsed="false">
      <c r="A40" s="8" t="s">
        <v>85</v>
      </c>
      <c r="B40" s="8" t="s">
        <v>120</v>
      </c>
      <c r="C40" s="1" t="n">
        <v>30</v>
      </c>
      <c r="D40" s="1" t="n">
        <v>15.1</v>
      </c>
      <c r="E40" s="8" t="s">
        <v>121</v>
      </c>
      <c r="F40" s="1" t="n">
        <v>20</v>
      </c>
      <c r="G40" s="1" t="n">
        <v>11.6</v>
      </c>
      <c r="H40" s="8" t="s">
        <v>23</v>
      </c>
      <c r="I40" s="1" t="n">
        <v>50</v>
      </c>
      <c r="J40" s="1" t="n">
        <v>31.5</v>
      </c>
    </row>
    <row r="41" customFormat="false" ht="15" hidden="false" customHeight="false" outlineLevel="0" collapsed="false">
      <c r="A41" s="8" t="s">
        <v>86</v>
      </c>
      <c r="B41" s="8" t="s">
        <v>114</v>
      </c>
      <c r="C41" s="1" t="n">
        <v>52</v>
      </c>
      <c r="D41" s="1" t="n">
        <v>29.1</v>
      </c>
      <c r="E41" s="8" t="s">
        <v>107</v>
      </c>
      <c r="F41" s="1" t="n">
        <v>28</v>
      </c>
      <c r="G41" s="1" t="n">
        <v>16.4</v>
      </c>
    </row>
    <row r="42" customFormat="false" ht="15" hidden="false" customHeight="false" outlineLevel="0" collapsed="false">
      <c r="A42" s="8" t="s">
        <v>87</v>
      </c>
      <c r="B42" s="8" t="s">
        <v>21</v>
      </c>
      <c r="C42" s="1" t="n">
        <v>40</v>
      </c>
      <c r="D42" s="1" t="n">
        <v>23.7</v>
      </c>
      <c r="E42" s="8" t="s">
        <v>88</v>
      </c>
      <c r="F42" s="1" t="n">
        <v>30</v>
      </c>
      <c r="G42" s="1" t="n">
        <v>24.7</v>
      </c>
      <c r="H42" s="8" t="s">
        <v>89</v>
      </c>
      <c r="I42" s="1" t="n">
        <v>30</v>
      </c>
      <c r="J42" s="1" t="n">
        <v>24</v>
      </c>
    </row>
    <row r="43" customFormat="false" ht="15" hidden="false" customHeight="false" outlineLevel="0" collapsed="false">
      <c r="A43" s="8" t="s">
        <v>90</v>
      </c>
      <c r="B43" s="8" t="s">
        <v>21</v>
      </c>
      <c r="C43" s="1" t="n">
        <v>30</v>
      </c>
      <c r="D43" s="1" t="n">
        <v>15.7</v>
      </c>
      <c r="E43" s="8" t="s">
        <v>23</v>
      </c>
      <c r="F43" s="1" t="n">
        <v>70</v>
      </c>
      <c r="G43" s="1" t="n">
        <v>45.2</v>
      </c>
    </row>
    <row r="44" customFormat="false" ht="15" hidden="false" customHeight="false" outlineLevel="0" collapsed="false">
      <c r="A44" s="8" t="s">
        <v>92</v>
      </c>
      <c r="B44" s="8" t="s">
        <v>114</v>
      </c>
      <c r="C44" s="1" t="n">
        <v>60</v>
      </c>
      <c r="D44" s="1" t="n">
        <v>29.6</v>
      </c>
      <c r="E44" s="8" t="s">
        <v>107</v>
      </c>
      <c r="F44" s="1" t="n">
        <v>50</v>
      </c>
      <c r="G44" s="1" t="n">
        <v>24.8</v>
      </c>
    </row>
    <row r="45" customFormat="false" ht="15" hidden="false" customHeight="false" outlineLevel="0" collapsed="false">
      <c r="A45" s="8" t="s">
        <v>122</v>
      </c>
      <c r="B45" s="8" t="s">
        <v>21</v>
      </c>
      <c r="C45" s="1" t="n">
        <v>30</v>
      </c>
      <c r="D45" s="1" t="n">
        <v>13.6</v>
      </c>
      <c r="E45" s="8" t="s">
        <v>40</v>
      </c>
      <c r="F45" s="1" t="n">
        <v>100</v>
      </c>
      <c r="G45" s="1" t="n">
        <v>55</v>
      </c>
    </row>
    <row r="46" customFormat="false" ht="15" hidden="false" customHeight="false" outlineLevel="0" collapsed="false">
      <c r="A46" s="8" t="s">
        <v>93</v>
      </c>
      <c r="B46" s="8" t="s">
        <v>21</v>
      </c>
      <c r="C46" s="1" t="n">
        <v>50</v>
      </c>
      <c r="D46" s="1" t="n">
        <v>17.9</v>
      </c>
      <c r="E46" s="8" t="s">
        <v>48</v>
      </c>
      <c r="F46" s="1" t="n">
        <v>50</v>
      </c>
      <c r="G46" s="1" t="n">
        <v>45</v>
      </c>
    </row>
    <row r="47" customFormat="false" ht="15" hidden="false" customHeight="false" outlineLevel="0" collapsed="false">
      <c r="A47" s="8" t="s">
        <v>95</v>
      </c>
      <c r="B47" s="8" t="s">
        <v>107</v>
      </c>
      <c r="C47" s="1" t="n">
        <v>95</v>
      </c>
      <c r="D47" s="1" t="n">
        <v>53.3</v>
      </c>
      <c r="E47" s="8" t="s">
        <v>108</v>
      </c>
      <c r="F47" s="1" t="n">
        <v>25</v>
      </c>
      <c r="G47" s="1" t="n">
        <v>15.3</v>
      </c>
    </row>
    <row r="48" customFormat="false" ht="15" hidden="false" customHeight="false" outlineLevel="0" collapsed="false">
      <c r="A48" s="8" t="s">
        <v>123</v>
      </c>
      <c r="B48" s="8" t="s">
        <v>114</v>
      </c>
      <c r="C48" s="1" t="n">
        <v>52</v>
      </c>
      <c r="D48" s="1" t="n">
        <v>31</v>
      </c>
      <c r="E48" s="8" t="s">
        <v>107</v>
      </c>
      <c r="F48" s="1" t="n">
        <v>28</v>
      </c>
      <c r="G48" s="1" t="n">
        <v>15.7</v>
      </c>
    </row>
    <row r="49" customFormat="false" ht="15" hidden="false" customHeight="false" outlineLevel="0" collapsed="false">
      <c r="A49" s="8" t="s">
        <v>101</v>
      </c>
      <c r="B49" s="8" t="s">
        <v>21</v>
      </c>
      <c r="C49" s="1" t="n">
        <v>80</v>
      </c>
      <c r="D49" s="1" t="n">
        <v>44.1</v>
      </c>
      <c r="E49" s="8" t="s">
        <v>23</v>
      </c>
      <c r="F49" s="1" t="n">
        <v>40</v>
      </c>
      <c r="G49" s="1" t="n">
        <v>24.5</v>
      </c>
    </row>
    <row r="50" customFormat="false" ht="15" hidden="false" customHeight="false" outlineLevel="0" collapsed="false">
      <c r="A50" s="8" t="s">
        <v>102</v>
      </c>
      <c r="B50" s="8" t="s">
        <v>124</v>
      </c>
      <c r="C50" s="1" t="n">
        <v>60</v>
      </c>
      <c r="D50" s="1" t="n">
        <v>28.6</v>
      </c>
      <c r="E50" s="8" t="s">
        <v>125</v>
      </c>
      <c r="F50" s="1" t="n">
        <v>20</v>
      </c>
      <c r="G50" s="1" t="n">
        <v>11.5</v>
      </c>
    </row>
    <row r="51" customFormat="false" ht="15" hidden="false" customHeight="false" outlineLevel="0" collapsed="false">
      <c r="A51" s="8" t="s">
        <v>103</v>
      </c>
      <c r="B51" s="8" t="s">
        <v>21</v>
      </c>
      <c r="C51" s="1" t="n">
        <v>80</v>
      </c>
      <c r="D51" s="1" t="n">
        <v>41.7</v>
      </c>
      <c r="E51" s="8" t="s">
        <v>23</v>
      </c>
      <c r="F51" s="1" t="n">
        <v>30</v>
      </c>
      <c r="G51" s="1" t="n">
        <v>21.4</v>
      </c>
    </row>
    <row r="52" customFormat="false" ht="15" hidden="false" customHeight="false" outlineLevel="0" collapsed="false">
      <c r="A52" s="8" t="s">
        <v>104</v>
      </c>
      <c r="B52" s="8" t="s">
        <v>35</v>
      </c>
      <c r="C52" s="1" t="n">
        <v>30</v>
      </c>
      <c r="D52" s="1" t="n">
        <v>15.9</v>
      </c>
      <c r="E52" s="8" t="s">
        <v>109</v>
      </c>
      <c r="F52" s="1" t="n">
        <v>30</v>
      </c>
      <c r="G52" s="1" t="n">
        <v>19.5</v>
      </c>
      <c r="H52" s="8" t="s">
        <v>37</v>
      </c>
      <c r="I52" s="1" t="n">
        <v>30</v>
      </c>
      <c r="J52" s="1" t="n">
        <v>12.1</v>
      </c>
      <c r="K52" s="8" t="s">
        <v>38</v>
      </c>
      <c r="L52" s="1" t="n">
        <v>30</v>
      </c>
      <c r="M52" s="1" t="n">
        <v>25.9</v>
      </c>
    </row>
    <row r="53" customFormat="false" ht="15" hidden="false" customHeight="false" outlineLevel="0" collapsed="false">
      <c r="A53" s="8" t="s">
        <v>105</v>
      </c>
      <c r="B53" s="8" t="s">
        <v>35</v>
      </c>
      <c r="C53" s="1" t="n">
        <v>30</v>
      </c>
      <c r="D53" s="1" t="n">
        <v>22.3</v>
      </c>
      <c r="E53" s="8" t="s">
        <v>109</v>
      </c>
      <c r="F53" s="1" t="n">
        <v>30</v>
      </c>
      <c r="G53" s="1" t="n">
        <v>21.2</v>
      </c>
      <c r="H53" s="8" t="s">
        <v>37</v>
      </c>
      <c r="I53" s="1" t="n">
        <v>30</v>
      </c>
      <c r="J53" s="1" t="n">
        <v>23.2</v>
      </c>
      <c r="K53" s="8" t="s">
        <v>38</v>
      </c>
      <c r="L53" s="1" t="n">
        <v>30</v>
      </c>
      <c r="M53" s="1" t="n">
        <v>27.4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78125" defaultRowHeight="15" zeroHeight="false" outlineLevelRow="0" outlineLevelCol="0"/>
  <cols>
    <col collapsed="false" customWidth="true" hidden="false" outlineLevel="0" max="1" min="1" style="9" width="20.62"/>
    <col collapsed="false" customWidth="true" hidden="false" outlineLevel="0" max="2" min="2" style="1" width="36.53"/>
    <col collapsed="false" customWidth="true" hidden="false" outlineLevel="0" max="3" min="3" style="1" width="31"/>
    <col collapsed="false" customWidth="true" hidden="false" outlineLevel="0" max="4" min="4" style="1" width="26.84"/>
    <col collapsed="false" customWidth="true" hidden="false" outlineLevel="0" max="5" min="5" style="1" width="23.07"/>
    <col collapsed="false" customWidth="true" hidden="false" outlineLevel="0" max="6" min="6" style="1" width="44.31"/>
    <col collapsed="false" customWidth="true" hidden="false" outlineLevel="0" max="7" min="7" style="1" width="26.84"/>
    <col collapsed="false" customWidth="true" hidden="false" outlineLevel="0" max="8" min="8" style="1" width="23.07"/>
    <col collapsed="false" customWidth="true" hidden="false" outlineLevel="0" max="9" min="9" style="1" width="31.15"/>
    <col collapsed="false" customWidth="true" hidden="false" outlineLevel="0" max="10" min="10" style="1" width="26.84"/>
    <col collapsed="false" customWidth="true" hidden="false" outlineLevel="0" max="11" min="11" style="1" width="23.07"/>
    <col collapsed="false" customWidth="true" hidden="false" outlineLevel="0" max="12" min="12" style="1" width="18.31"/>
    <col collapsed="false" customWidth="true" hidden="false" outlineLevel="0" max="13" min="13" style="1" width="26.84"/>
    <col collapsed="false" customWidth="true" hidden="false" outlineLevel="0" max="14" min="14" style="1" width="23.07"/>
  </cols>
  <sheetData>
    <row r="1" customFormat="false" ht="35.25" hidden="false" customHeight="true" outlineLevel="0" collapsed="false">
      <c r="A1" s="6" t="s">
        <v>126</v>
      </c>
    </row>
    <row r="2" customFormat="false" ht="15" hidden="false" customHeight="false" outlineLevel="0" collapsed="false">
      <c r="A2" s="7" t="s">
        <v>127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</row>
    <row r="3" customFormat="false" ht="15" hidden="false" customHeight="false" outlineLevel="0" collapsed="false">
      <c r="A3" s="9" t="s">
        <v>128</v>
      </c>
      <c r="B3" s="8" t="s">
        <v>20</v>
      </c>
      <c r="C3" s="8" t="s">
        <v>21</v>
      </c>
      <c r="D3" s="1" t="n">
        <v>140</v>
      </c>
      <c r="E3" s="1" t="n">
        <v>85.5</v>
      </c>
      <c r="F3" s="8" t="s">
        <v>40</v>
      </c>
      <c r="G3" s="1" t="n">
        <v>60</v>
      </c>
      <c r="H3" s="1" t="n">
        <v>46.1</v>
      </c>
    </row>
    <row r="4" customFormat="false" ht="15" hidden="false" customHeight="false" outlineLevel="0" collapsed="false">
      <c r="A4" s="9" t="s">
        <v>129</v>
      </c>
      <c r="B4" s="8" t="s">
        <v>130</v>
      </c>
      <c r="C4" s="8" t="s">
        <v>94</v>
      </c>
      <c r="D4" s="1" t="n">
        <v>100</v>
      </c>
      <c r="E4" s="1" t="n">
        <v>66.2</v>
      </c>
    </row>
    <row r="5" customFormat="false" ht="15" hidden="false" customHeight="false" outlineLevel="0" collapsed="false">
      <c r="A5" s="9" t="s">
        <v>131</v>
      </c>
      <c r="B5" s="8" t="s">
        <v>132</v>
      </c>
      <c r="C5" s="8" t="s">
        <v>94</v>
      </c>
      <c r="D5" s="1" t="n">
        <v>100</v>
      </c>
      <c r="E5" s="1" t="n">
        <v>66.9</v>
      </c>
    </row>
    <row r="6" customFormat="false" ht="15" hidden="false" customHeight="false" outlineLevel="0" collapsed="false">
      <c r="A6" s="9" t="s">
        <v>133</v>
      </c>
      <c r="B6" s="8" t="s">
        <v>30</v>
      </c>
      <c r="C6" s="8" t="s">
        <v>31</v>
      </c>
      <c r="D6" s="1" t="n">
        <v>96</v>
      </c>
      <c r="E6" s="1" t="n">
        <v>41.4</v>
      </c>
      <c r="F6" s="8" t="s">
        <v>32</v>
      </c>
      <c r="G6" s="1" t="n">
        <v>24</v>
      </c>
      <c r="H6" s="1" t="n">
        <v>15.7</v>
      </c>
    </row>
    <row r="7" customFormat="false" ht="15" hidden="false" customHeight="false" outlineLevel="0" collapsed="false">
      <c r="A7" s="9" t="s">
        <v>134</v>
      </c>
      <c r="B7" s="8" t="s">
        <v>33</v>
      </c>
      <c r="C7" s="8" t="s">
        <v>21</v>
      </c>
      <c r="D7" s="1" t="n">
        <v>80</v>
      </c>
      <c r="E7" s="1" t="n">
        <v>38.8</v>
      </c>
      <c r="F7" s="8" t="s">
        <v>40</v>
      </c>
      <c r="G7" s="1" t="n">
        <v>40</v>
      </c>
      <c r="H7" s="1" t="n">
        <v>23.2</v>
      </c>
    </row>
    <row r="8" customFormat="false" ht="15" hidden="false" customHeight="false" outlineLevel="0" collapsed="false">
      <c r="A8" s="9" t="s">
        <v>135</v>
      </c>
      <c r="B8" s="8" t="s">
        <v>34</v>
      </c>
      <c r="C8" s="8" t="s">
        <v>136</v>
      </c>
      <c r="D8" s="1" t="n">
        <v>50</v>
      </c>
      <c r="E8" s="1" t="n">
        <v>40.7</v>
      </c>
      <c r="F8" s="8" t="s">
        <v>137</v>
      </c>
      <c r="G8" s="1" t="n">
        <v>70</v>
      </c>
      <c r="H8" s="1" t="n">
        <v>59.7</v>
      </c>
      <c r="I8" s="8" t="s">
        <v>38</v>
      </c>
      <c r="J8" s="1" t="n">
        <v>50</v>
      </c>
      <c r="K8" s="1" t="n">
        <v>50</v>
      </c>
      <c r="L8" s="8" t="s">
        <v>94</v>
      </c>
      <c r="M8" s="1" t="n">
        <v>30</v>
      </c>
      <c r="N8" s="1" t="n">
        <v>7</v>
      </c>
    </row>
    <row r="9" customFormat="false" ht="15" hidden="false" customHeight="false" outlineLevel="0" collapsed="false">
      <c r="A9" s="9" t="s">
        <v>138</v>
      </c>
      <c r="B9" s="8" t="s">
        <v>41</v>
      </c>
      <c r="C9" s="8" t="s">
        <v>31</v>
      </c>
      <c r="D9" s="1" t="n">
        <v>95</v>
      </c>
      <c r="E9" s="1" t="n">
        <v>50.4</v>
      </c>
      <c r="F9" s="8" t="s">
        <v>32</v>
      </c>
      <c r="G9" s="1" t="n">
        <v>25</v>
      </c>
      <c r="H9" s="1" t="n">
        <v>15.7</v>
      </c>
    </row>
    <row r="10" customFormat="false" ht="15" hidden="false" customHeight="false" outlineLevel="0" collapsed="false">
      <c r="A10" s="9" t="s">
        <v>139</v>
      </c>
      <c r="B10" s="8" t="s">
        <v>42</v>
      </c>
      <c r="C10" s="8" t="s">
        <v>21</v>
      </c>
      <c r="D10" s="1" t="n">
        <v>100</v>
      </c>
      <c r="E10" s="1" t="n">
        <v>64.7</v>
      </c>
      <c r="F10" s="8" t="s">
        <v>140</v>
      </c>
      <c r="G10" s="1" t="n">
        <v>50</v>
      </c>
      <c r="H10" s="1" t="n">
        <v>31.9</v>
      </c>
    </row>
    <row r="11" customFormat="false" ht="15" hidden="false" customHeight="false" outlineLevel="0" collapsed="false">
      <c r="A11" s="9" t="s">
        <v>141</v>
      </c>
      <c r="B11" s="8" t="s">
        <v>43</v>
      </c>
      <c r="C11" s="8" t="s">
        <v>21</v>
      </c>
      <c r="D11" s="1" t="n">
        <v>55</v>
      </c>
      <c r="E11" s="1" t="n">
        <v>30.2</v>
      </c>
      <c r="F11" s="8" t="s">
        <v>40</v>
      </c>
      <c r="G11" s="1" t="n">
        <v>80</v>
      </c>
      <c r="H11" s="1" t="n">
        <v>52.7</v>
      </c>
    </row>
    <row r="12" customFormat="false" ht="15" hidden="false" customHeight="false" outlineLevel="0" collapsed="false">
      <c r="A12" s="9" t="s">
        <v>142</v>
      </c>
      <c r="B12" s="8" t="s">
        <v>49</v>
      </c>
      <c r="C12" s="8" t="s">
        <v>21</v>
      </c>
      <c r="D12" s="1" t="n">
        <v>65</v>
      </c>
      <c r="E12" s="1" t="n">
        <v>27.8</v>
      </c>
      <c r="F12" s="8" t="s">
        <v>23</v>
      </c>
      <c r="G12" s="1" t="n">
        <v>108</v>
      </c>
      <c r="H12" s="1" t="n">
        <v>53.1</v>
      </c>
    </row>
    <row r="13" customFormat="false" ht="15" hidden="false" customHeight="false" outlineLevel="0" collapsed="false">
      <c r="A13" s="9" t="s">
        <v>143</v>
      </c>
      <c r="B13" s="8" t="s">
        <v>52</v>
      </c>
      <c r="C13" s="8" t="s">
        <v>140</v>
      </c>
      <c r="D13" s="1" t="n">
        <v>30</v>
      </c>
      <c r="E13" s="1" t="n">
        <v>12.2</v>
      </c>
      <c r="F13" s="8" t="s">
        <v>23</v>
      </c>
      <c r="G13" s="1" t="n">
        <v>20</v>
      </c>
      <c r="H13" s="1" t="n">
        <v>9.5</v>
      </c>
      <c r="I13" s="8" t="s">
        <v>48</v>
      </c>
      <c r="J13" s="1" t="n">
        <v>50</v>
      </c>
      <c r="K13" s="1" t="n">
        <v>36.7</v>
      </c>
    </row>
    <row r="14" customFormat="false" ht="15" hidden="false" customHeight="false" outlineLevel="0" collapsed="false">
      <c r="A14" s="9" t="s">
        <v>144</v>
      </c>
      <c r="B14" s="8" t="s">
        <v>54</v>
      </c>
      <c r="C14" s="8" t="s">
        <v>21</v>
      </c>
      <c r="D14" s="1" t="n">
        <v>80</v>
      </c>
      <c r="E14" s="1" t="n">
        <v>54</v>
      </c>
      <c r="F14" s="8" t="s">
        <v>40</v>
      </c>
      <c r="G14" s="1" t="n">
        <v>40</v>
      </c>
      <c r="H14" s="1" t="n">
        <v>25.7</v>
      </c>
    </row>
    <row r="15" customFormat="false" ht="15" hidden="false" customHeight="false" outlineLevel="0" collapsed="false">
      <c r="A15" s="9" t="s">
        <v>145</v>
      </c>
      <c r="B15" s="8" t="s">
        <v>55</v>
      </c>
      <c r="C15" s="8" t="s">
        <v>21</v>
      </c>
      <c r="D15" s="1" t="n">
        <v>75</v>
      </c>
      <c r="E15" s="1" t="n">
        <v>25.4</v>
      </c>
    </row>
    <row r="16" customFormat="false" ht="15" hidden="false" customHeight="false" outlineLevel="0" collapsed="false">
      <c r="A16" s="9" t="s">
        <v>146</v>
      </c>
      <c r="B16" s="8" t="s">
        <v>56</v>
      </c>
      <c r="C16" s="8" t="s">
        <v>147</v>
      </c>
      <c r="D16" s="1" t="n">
        <v>20</v>
      </c>
      <c r="E16" s="1" t="n">
        <v>12</v>
      </c>
      <c r="F16" s="8" t="s">
        <v>148</v>
      </c>
      <c r="G16" s="1" t="n">
        <v>20</v>
      </c>
      <c r="H16" s="1" t="n">
        <v>10.7</v>
      </c>
      <c r="I16" s="8" t="s">
        <v>59</v>
      </c>
      <c r="J16" s="1" t="n">
        <v>30</v>
      </c>
      <c r="K16" s="1" t="n">
        <v>18.1</v>
      </c>
      <c r="L16" s="8" t="s">
        <v>149</v>
      </c>
      <c r="M16" s="1" t="n">
        <v>30</v>
      </c>
      <c r="N16" s="1" t="n">
        <v>17.1</v>
      </c>
    </row>
    <row r="17" customFormat="false" ht="15" hidden="false" customHeight="false" outlineLevel="0" collapsed="false">
      <c r="A17" s="9" t="s">
        <v>150</v>
      </c>
      <c r="B17" s="8" t="s">
        <v>63</v>
      </c>
      <c r="C17" s="8" t="s">
        <v>136</v>
      </c>
      <c r="D17" s="1" t="n">
        <v>50</v>
      </c>
      <c r="E17" s="1" t="n">
        <v>28.6</v>
      </c>
      <c r="F17" s="8" t="s">
        <v>137</v>
      </c>
      <c r="G17" s="1" t="n">
        <v>70</v>
      </c>
      <c r="H17" s="1" t="n">
        <v>40</v>
      </c>
      <c r="I17" s="8" t="s">
        <v>38</v>
      </c>
      <c r="J17" s="1" t="n">
        <v>50</v>
      </c>
      <c r="K17" s="1" t="n">
        <v>38.3</v>
      </c>
      <c r="L17" s="8" t="s">
        <v>94</v>
      </c>
      <c r="M17" s="1" t="n">
        <v>30</v>
      </c>
      <c r="N17" s="1" t="n">
        <v>21.8</v>
      </c>
    </row>
    <row r="18" customFormat="false" ht="15" hidden="false" customHeight="false" outlineLevel="0" collapsed="false">
      <c r="A18" s="9" t="s">
        <v>151</v>
      </c>
      <c r="B18" s="8" t="s">
        <v>64</v>
      </c>
      <c r="C18" s="8" t="s">
        <v>136</v>
      </c>
      <c r="D18" s="1" t="n">
        <v>50</v>
      </c>
      <c r="E18" s="1" t="n">
        <v>33.4</v>
      </c>
      <c r="F18" s="8" t="s">
        <v>137</v>
      </c>
      <c r="G18" s="1" t="n">
        <v>70</v>
      </c>
      <c r="H18" s="1" t="n">
        <v>40.2</v>
      </c>
      <c r="I18" s="8" t="s">
        <v>38</v>
      </c>
      <c r="J18" s="1" t="n">
        <v>50</v>
      </c>
      <c r="K18" s="1" t="n">
        <v>35.6</v>
      </c>
      <c r="L18" s="8" t="s">
        <v>94</v>
      </c>
      <c r="M18" s="1" t="n">
        <v>30</v>
      </c>
      <c r="N18" s="1" t="n">
        <v>21</v>
      </c>
    </row>
    <row r="19" customFormat="false" ht="15" hidden="false" customHeight="false" outlineLevel="0" collapsed="false">
      <c r="A19" s="9" t="s">
        <v>152</v>
      </c>
      <c r="B19" s="8" t="s">
        <v>65</v>
      </c>
      <c r="C19" s="8" t="s">
        <v>153</v>
      </c>
      <c r="D19" s="1" t="n">
        <v>30</v>
      </c>
      <c r="E19" s="1" t="n">
        <v>17.8</v>
      </c>
      <c r="F19" s="8" t="s">
        <v>154</v>
      </c>
      <c r="G19" s="1" t="n">
        <v>40</v>
      </c>
      <c r="H19" s="1" t="n">
        <v>25.4</v>
      </c>
      <c r="I19" s="8" t="s">
        <v>155</v>
      </c>
      <c r="J19" s="1" t="n">
        <v>15</v>
      </c>
      <c r="K19" s="1" t="n">
        <v>8.4</v>
      </c>
      <c r="L19" s="8" t="s">
        <v>69</v>
      </c>
      <c r="M19" s="1" t="n">
        <v>30</v>
      </c>
      <c r="N19" s="1" t="n">
        <v>25.8</v>
      </c>
    </row>
    <row r="20" customFormat="false" ht="15" hidden="false" customHeight="false" outlineLevel="0" collapsed="false">
      <c r="A20" s="9" t="s">
        <v>156</v>
      </c>
      <c r="B20" s="8" t="s">
        <v>70</v>
      </c>
      <c r="C20" s="8" t="s">
        <v>21</v>
      </c>
      <c r="D20" s="1" t="n">
        <v>50</v>
      </c>
      <c r="E20" s="1" t="n">
        <v>25.7</v>
      </c>
      <c r="F20" s="8" t="s">
        <v>157</v>
      </c>
      <c r="G20" s="1" t="n">
        <v>60</v>
      </c>
      <c r="H20" s="1" t="n">
        <v>34</v>
      </c>
      <c r="I20" s="8" t="s">
        <v>158</v>
      </c>
      <c r="J20" s="1" t="n">
        <v>40</v>
      </c>
      <c r="K20" s="1" t="n">
        <v>24.9</v>
      </c>
    </row>
    <row r="21" customFormat="false" ht="15" hidden="false" customHeight="false" outlineLevel="0" collapsed="false">
      <c r="A21" s="9" t="s">
        <v>159</v>
      </c>
      <c r="B21" s="8" t="s">
        <v>71</v>
      </c>
      <c r="C21" s="8" t="s">
        <v>136</v>
      </c>
      <c r="D21" s="1" t="n">
        <v>50</v>
      </c>
      <c r="E21" s="1" t="n">
        <v>32.6</v>
      </c>
      <c r="F21" s="8" t="s">
        <v>137</v>
      </c>
      <c r="G21" s="1" t="n">
        <v>70</v>
      </c>
      <c r="H21" s="1" t="n">
        <v>46.1</v>
      </c>
      <c r="I21" s="8" t="s">
        <v>38</v>
      </c>
      <c r="J21" s="1" t="n">
        <v>50</v>
      </c>
      <c r="K21" s="1" t="n">
        <v>40.8</v>
      </c>
      <c r="L21" s="8" t="s">
        <v>94</v>
      </c>
      <c r="M21" s="1" t="n">
        <v>30</v>
      </c>
      <c r="N21" s="1" t="n">
        <v>22.3</v>
      </c>
    </row>
    <row r="22" customFormat="false" ht="15" hidden="false" customHeight="false" outlineLevel="0" collapsed="false">
      <c r="A22" s="9" t="s">
        <v>160</v>
      </c>
      <c r="B22" s="8" t="s">
        <v>72</v>
      </c>
      <c r="C22" s="8" t="s">
        <v>21</v>
      </c>
      <c r="D22" s="1" t="n">
        <v>80</v>
      </c>
      <c r="E22" s="1" t="n">
        <v>34.7</v>
      </c>
      <c r="F22" s="8" t="s">
        <v>40</v>
      </c>
      <c r="G22" s="1" t="n">
        <v>60</v>
      </c>
      <c r="H22" s="1" t="n">
        <v>26.4</v>
      </c>
    </row>
    <row r="23" customFormat="false" ht="15" hidden="false" customHeight="false" outlineLevel="0" collapsed="false">
      <c r="A23" s="9" t="s">
        <v>161</v>
      </c>
      <c r="B23" s="8" t="s">
        <v>73</v>
      </c>
      <c r="C23" s="8" t="s">
        <v>21</v>
      </c>
      <c r="D23" s="1" t="n">
        <v>40</v>
      </c>
      <c r="E23" s="1" t="n">
        <v>20.3</v>
      </c>
      <c r="F23" s="8" t="s">
        <v>40</v>
      </c>
      <c r="G23" s="1" t="n">
        <v>60</v>
      </c>
      <c r="H23" s="1" t="n">
        <v>37</v>
      </c>
    </row>
    <row r="24" customFormat="false" ht="15" hidden="false" customHeight="false" outlineLevel="0" collapsed="false">
      <c r="A24" s="9" t="s">
        <v>162</v>
      </c>
      <c r="B24" s="8" t="s">
        <v>74</v>
      </c>
      <c r="C24" s="8" t="s">
        <v>21</v>
      </c>
      <c r="D24" s="1" t="n">
        <v>90</v>
      </c>
      <c r="E24" s="1" t="n">
        <v>50.4</v>
      </c>
      <c r="F24" s="8" t="s">
        <v>140</v>
      </c>
      <c r="G24" s="1" t="n">
        <v>50</v>
      </c>
      <c r="H24" s="1" t="n">
        <v>33</v>
      </c>
    </row>
    <row r="25" customFormat="false" ht="15" hidden="false" customHeight="false" outlineLevel="0" collapsed="false">
      <c r="A25" s="9" t="s">
        <v>163</v>
      </c>
      <c r="B25" s="8" t="s">
        <v>75</v>
      </c>
      <c r="C25" s="8" t="s">
        <v>136</v>
      </c>
      <c r="D25" s="1" t="n">
        <v>50</v>
      </c>
      <c r="E25" s="1" t="n">
        <v>36.1</v>
      </c>
      <c r="F25" s="8" t="s">
        <v>137</v>
      </c>
      <c r="G25" s="1" t="n">
        <v>70</v>
      </c>
      <c r="H25" s="1" t="n">
        <v>56</v>
      </c>
      <c r="I25" s="8" t="s">
        <v>38</v>
      </c>
      <c r="J25" s="1" t="n">
        <v>50</v>
      </c>
      <c r="K25" s="1" t="n">
        <v>45.8</v>
      </c>
      <c r="L25" s="8" t="s">
        <v>94</v>
      </c>
      <c r="M25" s="1" t="n">
        <v>30</v>
      </c>
      <c r="N25" s="1" t="n">
        <v>19.8</v>
      </c>
    </row>
    <row r="26" customFormat="false" ht="15" hidden="false" customHeight="false" outlineLevel="0" collapsed="false">
      <c r="A26" s="9" t="s">
        <v>164</v>
      </c>
      <c r="B26" s="8" t="s">
        <v>76</v>
      </c>
      <c r="C26" s="8" t="s">
        <v>77</v>
      </c>
      <c r="D26" s="1" t="n">
        <v>60</v>
      </c>
      <c r="E26" s="1" t="n">
        <v>42.4</v>
      </c>
      <c r="F26" s="8" t="s">
        <v>78</v>
      </c>
      <c r="G26" s="1" t="n">
        <v>60</v>
      </c>
      <c r="H26" s="1" t="n">
        <v>35.1</v>
      </c>
      <c r="I26" s="8" t="s">
        <v>149</v>
      </c>
      <c r="J26" s="1" t="n">
        <v>60</v>
      </c>
      <c r="K26" s="1" t="n">
        <v>45.5</v>
      </c>
    </row>
    <row r="27" customFormat="false" ht="15" hidden="false" customHeight="false" outlineLevel="0" collapsed="false">
      <c r="A27" s="9" t="s">
        <v>165</v>
      </c>
      <c r="B27" s="8" t="s">
        <v>79</v>
      </c>
      <c r="C27" s="8" t="s">
        <v>136</v>
      </c>
      <c r="D27" s="1" t="n">
        <v>50</v>
      </c>
      <c r="E27" s="1" t="n">
        <v>33.5</v>
      </c>
      <c r="F27" s="8" t="s">
        <v>137</v>
      </c>
      <c r="G27" s="1" t="n">
        <v>70</v>
      </c>
      <c r="H27" s="1" t="n">
        <v>51</v>
      </c>
      <c r="I27" s="8" t="s">
        <v>38</v>
      </c>
      <c r="J27" s="1" t="n">
        <v>50</v>
      </c>
      <c r="K27" s="1" t="n">
        <v>47.6</v>
      </c>
      <c r="L27" s="8" t="s">
        <v>94</v>
      </c>
      <c r="M27" s="1" t="n">
        <v>30</v>
      </c>
      <c r="N27" s="1" t="n">
        <v>18</v>
      </c>
    </row>
    <row r="28" customFormat="false" ht="15" hidden="false" customHeight="false" outlineLevel="0" collapsed="false">
      <c r="A28" s="9" t="s">
        <v>166</v>
      </c>
      <c r="B28" s="8" t="s">
        <v>80</v>
      </c>
      <c r="C28" s="8" t="s">
        <v>136</v>
      </c>
      <c r="D28" s="1" t="n">
        <v>50</v>
      </c>
      <c r="E28" s="1" t="n">
        <v>37.6</v>
      </c>
      <c r="F28" s="8" t="s">
        <v>137</v>
      </c>
      <c r="G28" s="1" t="n">
        <v>70</v>
      </c>
      <c r="H28" s="1" t="n">
        <v>64.9</v>
      </c>
      <c r="I28" s="8" t="s">
        <v>38</v>
      </c>
      <c r="J28" s="1" t="n">
        <v>50</v>
      </c>
      <c r="K28" s="1" t="n">
        <v>50</v>
      </c>
      <c r="L28" s="8" t="s">
        <v>94</v>
      </c>
      <c r="M28" s="1" t="n">
        <v>30</v>
      </c>
      <c r="N28" s="1" t="n">
        <v>17.1</v>
      </c>
    </row>
    <row r="29" customFormat="false" ht="15" hidden="false" customHeight="false" outlineLevel="0" collapsed="false">
      <c r="A29" s="9" t="s">
        <v>167</v>
      </c>
      <c r="B29" s="8" t="s">
        <v>84</v>
      </c>
      <c r="C29" s="8" t="s">
        <v>25</v>
      </c>
      <c r="D29" s="1" t="n">
        <v>35</v>
      </c>
      <c r="E29" s="1" t="n">
        <v>22</v>
      </c>
      <c r="F29" s="8" t="s">
        <v>26</v>
      </c>
      <c r="G29" s="1" t="n">
        <v>65</v>
      </c>
      <c r="H29" s="1" t="n">
        <v>37.6</v>
      </c>
    </row>
    <row r="30" customFormat="false" ht="15" hidden="false" customHeight="false" outlineLevel="0" collapsed="false">
      <c r="A30" s="9" t="s">
        <v>168</v>
      </c>
      <c r="B30" s="8" t="s">
        <v>169</v>
      </c>
      <c r="C30" s="8" t="s">
        <v>21</v>
      </c>
      <c r="D30" s="1" t="n">
        <v>90</v>
      </c>
      <c r="E30" s="1" t="n">
        <v>60.4</v>
      </c>
    </row>
    <row r="31" customFormat="false" ht="15" hidden="false" customHeight="false" outlineLevel="0" collapsed="false">
      <c r="A31" s="9" t="s">
        <v>170</v>
      </c>
      <c r="B31" s="8" t="s">
        <v>86</v>
      </c>
      <c r="C31" s="8" t="s">
        <v>21</v>
      </c>
      <c r="D31" s="1" t="n">
        <v>90</v>
      </c>
      <c r="E31" s="1" t="n">
        <v>51.4</v>
      </c>
      <c r="F31" s="8" t="s">
        <v>149</v>
      </c>
      <c r="G31" s="1" t="n">
        <v>50</v>
      </c>
      <c r="H31" s="1" t="n">
        <v>32.3</v>
      </c>
    </row>
    <row r="32" customFormat="false" ht="15" hidden="false" customHeight="false" outlineLevel="0" collapsed="false">
      <c r="A32" s="9" t="s">
        <v>171</v>
      </c>
      <c r="B32" s="8" t="s">
        <v>87</v>
      </c>
      <c r="C32" s="8" t="s">
        <v>21</v>
      </c>
      <c r="D32" s="1" t="n">
        <v>40</v>
      </c>
      <c r="E32" s="1" t="n">
        <v>19.4</v>
      </c>
      <c r="F32" s="8" t="s">
        <v>88</v>
      </c>
      <c r="G32" s="1" t="n">
        <v>30</v>
      </c>
      <c r="H32" s="1" t="n">
        <v>25.1</v>
      </c>
      <c r="I32" s="8" t="s">
        <v>89</v>
      </c>
      <c r="J32" s="1" t="n">
        <v>30</v>
      </c>
      <c r="K32" s="1" t="n">
        <v>24</v>
      </c>
    </row>
    <row r="33" customFormat="false" ht="15" hidden="false" customHeight="false" outlineLevel="0" collapsed="false">
      <c r="A33" s="9" t="s">
        <v>172</v>
      </c>
      <c r="B33" s="8" t="s">
        <v>90</v>
      </c>
      <c r="C33" s="8" t="s">
        <v>40</v>
      </c>
      <c r="D33" s="1" t="n">
        <v>130</v>
      </c>
      <c r="E33" s="1" t="n">
        <v>70.3</v>
      </c>
    </row>
    <row r="34" customFormat="false" ht="15" hidden="false" customHeight="false" outlineLevel="0" collapsed="false">
      <c r="A34" s="9" t="s">
        <v>173</v>
      </c>
      <c r="B34" s="8" t="s">
        <v>174</v>
      </c>
      <c r="C34" s="8" t="s">
        <v>21</v>
      </c>
      <c r="D34" s="1" t="n">
        <v>40</v>
      </c>
      <c r="E34" s="1" t="n">
        <v>24</v>
      </c>
      <c r="F34" s="8" t="s">
        <v>94</v>
      </c>
      <c r="G34" s="1" t="n">
        <v>35</v>
      </c>
      <c r="H34" s="1" t="n">
        <v>19.5</v>
      </c>
      <c r="I34" s="8" t="s">
        <v>88</v>
      </c>
      <c r="J34" s="1" t="n">
        <v>25</v>
      </c>
      <c r="K34" s="1" t="n">
        <v>23.5</v>
      </c>
    </row>
    <row r="35" customFormat="false" ht="15" hidden="false" customHeight="false" outlineLevel="0" collapsed="false">
      <c r="A35" s="9" t="s">
        <v>175</v>
      </c>
      <c r="B35" s="8" t="s">
        <v>93</v>
      </c>
      <c r="C35" s="8" t="s">
        <v>40</v>
      </c>
      <c r="D35" s="1" t="n">
        <v>70</v>
      </c>
      <c r="E35" s="1" t="n">
        <v>32.4</v>
      </c>
      <c r="F35" s="8" t="s">
        <v>48</v>
      </c>
      <c r="G35" s="1" t="n">
        <v>30</v>
      </c>
      <c r="H35" s="1" t="n">
        <v>27.1</v>
      </c>
    </row>
    <row r="36" customFormat="false" ht="15" hidden="false" customHeight="false" outlineLevel="0" collapsed="false">
      <c r="A36" s="9" t="s">
        <v>176</v>
      </c>
      <c r="B36" s="8" t="s">
        <v>95</v>
      </c>
      <c r="C36" s="8" t="s">
        <v>21</v>
      </c>
      <c r="D36" s="1" t="n">
        <v>155</v>
      </c>
      <c r="E36" s="1" t="n">
        <v>89.1</v>
      </c>
    </row>
    <row r="37" customFormat="false" ht="15" hidden="false" customHeight="false" outlineLevel="0" collapsed="false">
      <c r="A37" s="9" t="s">
        <v>177</v>
      </c>
      <c r="B37" s="8" t="s">
        <v>102</v>
      </c>
      <c r="C37" s="8" t="s">
        <v>21</v>
      </c>
      <c r="D37" s="1" t="n">
        <v>90</v>
      </c>
      <c r="E37" s="1" t="n">
        <v>51</v>
      </c>
      <c r="F37" s="8" t="s">
        <v>178</v>
      </c>
      <c r="G37" s="1" t="n">
        <v>50</v>
      </c>
      <c r="H37" s="1" t="n">
        <v>34</v>
      </c>
    </row>
    <row r="38" customFormat="false" ht="15" hidden="false" customHeight="false" outlineLevel="0" collapsed="false">
      <c r="A38" s="9" t="s">
        <v>179</v>
      </c>
      <c r="B38" s="8" t="s">
        <v>104</v>
      </c>
      <c r="C38" s="8" t="s">
        <v>136</v>
      </c>
      <c r="D38" s="1" t="n">
        <v>50</v>
      </c>
      <c r="E38" s="1" t="n">
        <v>30.3</v>
      </c>
      <c r="F38" s="8" t="s">
        <v>137</v>
      </c>
      <c r="G38" s="1" t="n">
        <v>70</v>
      </c>
      <c r="H38" s="1" t="n">
        <v>39.7</v>
      </c>
      <c r="I38" s="8" t="s">
        <v>38</v>
      </c>
      <c r="J38" s="1" t="n">
        <v>50</v>
      </c>
      <c r="K38" s="1" t="n">
        <v>36.5</v>
      </c>
      <c r="L38" s="8" t="s">
        <v>94</v>
      </c>
      <c r="M38" s="1" t="n">
        <v>30</v>
      </c>
      <c r="N38" s="1" t="n">
        <v>17.8</v>
      </c>
    </row>
    <row r="39" customFormat="false" ht="15" hidden="false" customHeight="false" outlineLevel="0" collapsed="false">
      <c r="A39" s="9" t="s">
        <v>180</v>
      </c>
      <c r="B39" s="8" t="s">
        <v>181</v>
      </c>
      <c r="C39" s="8" t="s">
        <v>114</v>
      </c>
      <c r="D39" s="1" t="n">
        <v>30</v>
      </c>
      <c r="E39" s="1" t="n">
        <v>14.8</v>
      </c>
      <c r="F39" s="8" t="s">
        <v>107</v>
      </c>
      <c r="G39" s="1" t="n">
        <v>80</v>
      </c>
      <c r="H39" s="1" t="n">
        <v>51.5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" defaultRowHeight="15" zeroHeight="false" outlineLevelRow="0" outlineLevelCol="0"/>
  <cols>
    <col collapsed="false" customWidth="true" hidden="false" outlineLevel="0" max="1" min="1" style="1" width="13.84"/>
    <col collapsed="false" customWidth="true" hidden="false" outlineLevel="0" max="2" min="2" style="1" width="98.53"/>
  </cols>
  <sheetData>
    <row r="1" s="11" customFormat="true" ht="33.75" hidden="false" customHeight="true" outlineLevel="0" collapsed="false">
      <c r="A1" s="10" t="s">
        <v>182</v>
      </c>
    </row>
    <row r="2" customFormat="false" ht="15" hidden="false" customHeight="false" outlineLevel="0" collapsed="false">
      <c r="A2" s="7" t="s">
        <v>183</v>
      </c>
      <c r="B2" s="7" t="s">
        <v>184</v>
      </c>
    </row>
    <row r="3" customFormat="false" ht="15" hidden="false" customHeight="false" outlineLevel="0" collapsed="false">
      <c r="A3" s="12" t="s">
        <v>185</v>
      </c>
      <c r="B3" s="13" t="s">
        <v>186</v>
      </c>
    </row>
    <row r="4" customFormat="false" ht="27" hidden="false" customHeight="false" outlineLevel="0" collapsed="false">
      <c r="A4" s="14" t="s">
        <v>187</v>
      </c>
      <c r="B4" s="15" t="s">
        <v>188</v>
      </c>
    </row>
    <row r="5" customFormat="false" ht="15" hidden="false" customHeight="false" outlineLevel="0" collapsed="false">
      <c r="A5" s="14" t="s">
        <v>189</v>
      </c>
      <c r="B5" s="16" t="s">
        <v>190</v>
      </c>
    </row>
    <row r="6" customFormat="false" ht="27" hidden="false" customHeight="false" outlineLevel="0" collapsed="false">
      <c r="A6" s="14" t="s">
        <v>191</v>
      </c>
      <c r="B6" s="17" t="s">
        <v>192</v>
      </c>
    </row>
  </sheetData>
  <hyperlinks>
    <hyperlink ref="B5" r:id="rId1" display="Refer to the background information document for additional information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2022-07-18T21:43:50Z</dcterms:created>
  <dc:creator>pri11322</dc:creator>
  <dc:description/>
  <dc:language>en-GB</dc:language>
  <cp:lastModifiedBy/>
  <dcterms:modified xsi:type="dcterms:W3CDTF">2024-08-17T22:15:39Z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