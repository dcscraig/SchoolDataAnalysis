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_rels/sheet10.xml.rels" ContentType="application/vnd.openxmlformats-package.relationships+xml"/>
  <Override PartName="/xl/worksheets/_rels/sheet11.xml.rels" ContentType="application/vnd.openxmlformats-package.relationships+xml"/>
  <Override PartName="/xl/worksheets/_rels/sheet12.xml.rels" ContentType="application/vnd.openxmlformats-package.relationships+xml"/>
  <Override PartName="/xl/worksheets/_rels/sheet13.xml.rels" ContentType="application/vnd.openxmlformats-package.relationships+xml"/>
  <Override PartName="/xl/worksheets/_rels/sheet14.xml.rels" ContentType="application/vnd.openxmlformats-package.relationship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1.xml" ContentType="application/vnd.openxmlformats-officedocument.spreadsheetml.table+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Contents" sheetId="1" state="visible" r:id="rId3"/>
    <sheet name="National_2" sheetId="2" state="visible" r:id="rId4"/>
    <sheet name="National_3" sheetId="3" state="visible" r:id="rId5"/>
    <sheet name="National_4" sheetId="4" state="visible" r:id="rId6"/>
    <sheet name="National_5" sheetId="5" state="visible" r:id="rId7"/>
    <sheet name="Higher" sheetId="6" state="visible" r:id="rId8"/>
    <sheet name="Advanced_Higher" sheetId="7" state="visible" r:id="rId9"/>
    <sheet name="Scottish_Baccalaureate" sheetId="8" state="visible" r:id="rId10"/>
    <sheet name="Skills_for_Work" sheetId="9" state="visible" r:id="rId11"/>
    <sheet name="Awards" sheetId="10" state="visible" r:id="rId12"/>
    <sheet name="National_Progression_Awards" sheetId="11" state="visible" r:id="rId13"/>
    <sheet name="National_Certificates" sheetId="12" state="visible" r:id="rId14"/>
    <sheet name="Stage_Breakdowns" sheetId="13" state="visible" r:id="rId15"/>
    <sheet name="Notes" sheetId="14" state="visible" r:id="rId1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<sst xmlns="http://schemas.openxmlformats.org/spreadsheetml/2006/main" count="3741" uniqueCount="608">
  <si>
    <t xml:space="preserve">Provisional Attainment Statistics - August 2024</t>
  </si>
  <si>
    <t xml:space="preserve">Provisional Attainment Statistics - August 2024 presents a summary of entries and attainment on results day in August.</t>
  </si>
  <si>
    <t xml:space="preserve">Reference: 24PAS</t>
  </si>
  <si>
    <t xml:space="preserve">Release date: 06 August 2024</t>
  </si>
  <si>
    <t xml:space="preserve">Lead analyst: Ryan MacGregor</t>
  </si>
  <si>
    <t xml:space="preserve">Contact: data.analytics@sqa.org.uk</t>
  </si>
  <si>
    <t xml:space="preserve">Table 1: Provisional National 2 Attainment</t>
  </si>
  <si>
    <t xml:space="preserve">This worksheet contains one table.</t>
  </si>
  <si>
    <t xml:space="preserve">Some shorthand is used in this table, [c] where the value is suppressed to protect against the risk of disclosure of personal information, [low] for a value less than 0.05% and [z] for not applicable.</t>
  </si>
  <si>
    <t xml:space="preserve">Subject</t>
  </si>
  <si>
    <t xml:space="preserve">Awarded Count 2024</t>
  </si>
  <si>
    <t xml:space="preserve">Awarded Percentage 2024</t>
  </si>
  <si>
    <t xml:space="preserve">Entries 2024</t>
  </si>
  <si>
    <t xml:space="preserve">Awarded Count 2023</t>
  </si>
  <si>
    <t xml:space="preserve">Awarded Percentage 2023</t>
  </si>
  <si>
    <t xml:space="preserve">Entries 2023</t>
  </si>
  <si>
    <t xml:space="preserve">Awarded Count 2022</t>
  </si>
  <si>
    <t xml:space="preserve">Awarded Percentage 2022</t>
  </si>
  <si>
    <t xml:space="preserve">Entries 2022</t>
  </si>
  <si>
    <t xml:space="preserve">Awarded Count 2021</t>
  </si>
  <si>
    <t xml:space="preserve">Awarded Percentage 2021</t>
  </si>
  <si>
    <t xml:space="preserve">Entries 2021</t>
  </si>
  <si>
    <t xml:space="preserve">Awarded Count 2020</t>
  </si>
  <si>
    <t xml:space="preserve">Awarded Percentage 2020</t>
  </si>
  <si>
    <t xml:space="preserve">Entries 2020</t>
  </si>
  <si>
    <t xml:space="preserve">Awarded Count 2019</t>
  </si>
  <si>
    <t xml:space="preserve">Awarded Percentage 2019</t>
  </si>
  <si>
    <t xml:space="preserve">Entries 2019</t>
  </si>
  <si>
    <t xml:space="preserve">Business in Practice</t>
  </si>
  <si>
    <t xml:space="preserve">Creative Arts</t>
  </si>
  <si>
    <t xml:space="preserve">English and Communication</t>
  </si>
  <si>
    <t xml:space="preserve">Food, Health and Wellbeing</t>
  </si>
  <si>
    <t xml:space="preserve">French</t>
  </si>
  <si>
    <t xml:space="preserve">[c]</t>
  </si>
  <si>
    <t xml:space="preserve">Gaelic (Learners)</t>
  </si>
  <si>
    <t xml:space="preserve">[z]</t>
  </si>
  <si>
    <t xml:space="preserve">Gàidhlig</t>
  </si>
  <si>
    <t xml:space="preserve">German</t>
  </si>
  <si>
    <t xml:space="preserve">Information and Communications Technology</t>
  </si>
  <si>
    <t xml:space="preserve">Italian</t>
  </si>
  <si>
    <t xml:space="preserve">Lifeskills Mathematics</t>
  </si>
  <si>
    <t xml:space="preserve">Matamataig Fad-bheatha (Lifeskills Mathematics)</t>
  </si>
  <si>
    <t xml:space="preserve">Performance Arts</t>
  </si>
  <si>
    <t xml:space="preserve">Physical Education</t>
  </si>
  <si>
    <t xml:space="preserve">Practical Craft Skills</t>
  </si>
  <si>
    <t xml:space="preserve">Science in the Environment</t>
  </si>
  <si>
    <t xml:space="preserve">Social Subjects</t>
  </si>
  <si>
    <t xml:space="preserve">Spanish</t>
  </si>
  <si>
    <t xml:space="preserve">Total</t>
  </si>
  <si>
    <t xml:space="preserve">Table 2: Provisional National 3 Attainment</t>
  </si>
  <si>
    <t xml:space="preserve">Administration and IT</t>
  </si>
  <si>
    <t xml:space="preserve">Applications of Mathematics</t>
  </si>
  <si>
    <t xml:space="preserve">Art and Design</t>
  </si>
  <si>
    <t xml:space="preserve">Biology</t>
  </si>
  <si>
    <t xml:space="preserve">Business</t>
  </si>
  <si>
    <t xml:space="preserve">Chemistry</t>
  </si>
  <si>
    <t xml:space="preserve">Classical Studies</t>
  </si>
  <si>
    <t xml:space="preserve">Computing Science</t>
  </si>
  <si>
    <t xml:space="preserve">Design and Technology</t>
  </si>
  <si>
    <t xml:space="preserve">Drama</t>
  </si>
  <si>
    <t xml:space="preserve">English</t>
  </si>
  <si>
    <t xml:space="preserve">English for Speakers of Other Languages</t>
  </si>
  <si>
    <t xml:space="preserve">Environmental Science</t>
  </si>
  <si>
    <t xml:space="preserve">Fashion and Textile Technology</t>
  </si>
  <si>
    <t xml:space="preserve">Geography</t>
  </si>
  <si>
    <t xml:space="preserve">Health and Food Technology</t>
  </si>
  <si>
    <t xml:space="preserve">History</t>
  </si>
  <si>
    <t xml:space="preserve">Latin</t>
  </si>
  <si>
    <t xml:space="preserve">Mandarin (Simplified)</t>
  </si>
  <si>
    <t xml:space="preserve">Media</t>
  </si>
  <si>
    <t xml:space="preserve">Modern Studies</t>
  </si>
  <si>
    <t xml:space="preserve">Music</t>
  </si>
  <si>
    <t xml:space="preserve">Music Technology</t>
  </si>
  <si>
    <t xml:space="preserve">People and Society</t>
  </si>
  <si>
    <t xml:space="preserve">Physics</t>
  </si>
  <si>
    <t xml:space="preserve">Practical Cookery</t>
  </si>
  <si>
    <t xml:space="preserve">Religious, Moral and Philosophical Studies</t>
  </si>
  <si>
    <t xml:space="preserve">Science</t>
  </si>
  <si>
    <t xml:space="preserve">Urdu</t>
  </si>
  <si>
    <t xml:space="preserve">Table 3: Provisional National 4 Attainment</t>
  </si>
  <si>
    <t xml:space="preserve">Bith-eòlas (Biology)</t>
  </si>
  <si>
    <t xml:space="preserve">Care</t>
  </si>
  <si>
    <t xml:space="preserve">Cruinn-eòlas (Geography)</t>
  </si>
  <si>
    <t xml:space="preserve">Design and Manufacture</t>
  </si>
  <si>
    <t xml:space="preserve">Eachdraidh (History)</t>
  </si>
  <si>
    <t xml:space="preserve">Engineering Science</t>
  </si>
  <si>
    <t xml:space="preserve">Gnìomhachas Matamataigs (Applications of Mathematics)</t>
  </si>
  <si>
    <t xml:space="preserve">Graphic Communication</t>
  </si>
  <si>
    <t xml:space="preserve">Matamataig (Mathematics)</t>
  </si>
  <si>
    <t xml:space="preserve">Mathematics</t>
  </si>
  <si>
    <t xml:space="preserve">Nuadh-eòlas (Modern Studies)</t>
  </si>
  <si>
    <t xml:space="preserve">Practical Electronics</t>
  </si>
  <si>
    <t xml:space="preserve">Practical Metalworking</t>
  </si>
  <si>
    <t xml:space="preserve">Practical Woodworking</t>
  </si>
  <si>
    <t xml:space="preserve">Table 4: Provisional National 5 Attainment</t>
  </si>
  <si>
    <t xml:space="preserve">Grade A Count 2024</t>
  </si>
  <si>
    <t xml:space="preserve">Grade A Percentage 2024</t>
  </si>
  <si>
    <t xml:space="preserve">Grade A-B Count 2024</t>
  </si>
  <si>
    <t xml:space="preserve">Grade A-B Percentage 2024</t>
  </si>
  <si>
    <t xml:space="preserve">Grade A-C Count 2024</t>
  </si>
  <si>
    <t xml:space="preserve">Grade A-C Percentage 2024</t>
  </si>
  <si>
    <t xml:space="preserve">Grade A-D Count 2024</t>
  </si>
  <si>
    <t xml:space="preserve">Grade A-D Percentage 2024</t>
  </si>
  <si>
    <t xml:space="preserve">No Award Count 2024</t>
  </si>
  <si>
    <t xml:space="preserve">No Award Percentage 2024</t>
  </si>
  <si>
    <t xml:space="preserve">Grade A Count 2023</t>
  </si>
  <si>
    <t xml:space="preserve">Grade A Percentage 2023</t>
  </si>
  <si>
    <t xml:space="preserve">Grade A-B Count 2023</t>
  </si>
  <si>
    <t xml:space="preserve">Grade A-B Percentage 2023</t>
  </si>
  <si>
    <t xml:space="preserve">Grade A-C Count 2023</t>
  </si>
  <si>
    <t xml:space="preserve">Grade A-C Percentage 2023</t>
  </si>
  <si>
    <t xml:space="preserve">Grade A-D Count 2023</t>
  </si>
  <si>
    <t xml:space="preserve">Grade A-D Percentage 2023</t>
  </si>
  <si>
    <t xml:space="preserve">No Award Count 2023</t>
  </si>
  <si>
    <t xml:space="preserve">No Award Percentage 2023</t>
  </si>
  <si>
    <t xml:space="preserve">Grade A Count 2022</t>
  </si>
  <si>
    <t xml:space="preserve">Grade A Percentage 2022</t>
  </si>
  <si>
    <t xml:space="preserve">Grade A-B Count 2022</t>
  </si>
  <si>
    <t xml:space="preserve">Grade A-B Percentage 2022</t>
  </si>
  <si>
    <t xml:space="preserve">Grade A-C Count 2022</t>
  </si>
  <si>
    <t xml:space="preserve">Grade A-C Percentage 2022</t>
  </si>
  <si>
    <t xml:space="preserve">Grade A-D Count 2022</t>
  </si>
  <si>
    <t xml:space="preserve">Grade A-D Percentage 2022</t>
  </si>
  <si>
    <t xml:space="preserve">No Award Count 2022</t>
  </si>
  <si>
    <t xml:space="preserve">No Award Percentage 2022</t>
  </si>
  <si>
    <t xml:space="preserve">Grade A Count 2021</t>
  </si>
  <si>
    <t xml:space="preserve">Grade A Percentage 2021</t>
  </si>
  <si>
    <t xml:space="preserve">Grade A-B Count 2021</t>
  </si>
  <si>
    <t xml:space="preserve">Grade A-B Percentage 2021</t>
  </si>
  <si>
    <t xml:space="preserve">Grade A-C Count 2021</t>
  </si>
  <si>
    <t xml:space="preserve">Grade A-C Percentage 2021</t>
  </si>
  <si>
    <t xml:space="preserve">Grade A-D Count 2021</t>
  </si>
  <si>
    <t xml:space="preserve">Grade A-D Percentage 2021</t>
  </si>
  <si>
    <t xml:space="preserve">No Award Count 2021</t>
  </si>
  <si>
    <t xml:space="preserve">No Award Percentage 2021</t>
  </si>
  <si>
    <t xml:space="preserve">Grade A Count 2020</t>
  </si>
  <si>
    <t xml:space="preserve">Grade A Percentage 2020</t>
  </si>
  <si>
    <t xml:space="preserve">Grade A-B Count 2020</t>
  </si>
  <si>
    <t xml:space="preserve">Grade A-B Percentage 2020</t>
  </si>
  <si>
    <t xml:space="preserve">Grade A-C Count 2020</t>
  </si>
  <si>
    <t xml:space="preserve">Grade A-C Percentage 2020</t>
  </si>
  <si>
    <t xml:space="preserve">Grade A-D Count 2020</t>
  </si>
  <si>
    <t xml:space="preserve">Grade A-D Percentage 2020</t>
  </si>
  <si>
    <t xml:space="preserve">No Award Count 2020</t>
  </si>
  <si>
    <t xml:space="preserve">No Award Percentage 2020</t>
  </si>
  <si>
    <t xml:space="preserve">Grade A Count 2019</t>
  </si>
  <si>
    <t xml:space="preserve">Grade A Percentage 2019</t>
  </si>
  <si>
    <t xml:space="preserve">Grade A-B Count 2019</t>
  </si>
  <si>
    <t xml:space="preserve">Grade A-B Percentage 2019</t>
  </si>
  <si>
    <t xml:space="preserve">Grade A-C Count 2019</t>
  </si>
  <si>
    <t xml:space="preserve">Grade A-C Percentage 2019</t>
  </si>
  <si>
    <t xml:space="preserve">Grade A-D Count 2019</t>
  </si>
  <si>
    <t xml:space="preserve">Grade A-D Percentage 2019</t>
  </si>
  <si>
    <t xml:space="preserve">No Award Count 2019</t>
  </si>
  <si>
    <t xml:space="preserve">No Award Percentage 2019</t>
  </si>
  <si>
    <t xml:space="preserve">Accounting</t>
  </si>
  <si>
    <t xml:space="preserve">Business Management</t>
  </si>
  <si>
    <t xml:space="preserve">Cantonese</t>
  </si>
  <si>
    <t xml:space="preserve">Dance</t>
  </si>
  <si>
    <t xml:space="preserve">Economics</t>
  </si>
  <si>
    <t xml:space="preserve">Mandarin (Traditional)</t>
  </si>
  <si>
    <t xml:space="preserve">Nuadh-Eolas (Modern Studies)</t>
  </si>
  <si>
    <t xml:space="preserve">Philosophy</t>
  </si>
  <si>
    <t xml:space="preserve">Practical Cake Craft</t>
  </si>
  <si>
    <t xml:space="preserve">Psychology</t>
  </si>
  <si>
    <t xml:space="preserve">Sociology</t>
  </si>
  <si>
    <t xml:space="preserve">Table 5: Provisional Higher Attainment</t>
  </si>
  <si>
    <t xml:space="preserve">Childcare and Development</t>
  </si>
  <si>
    <t xml:space="preserve">Human Biology</t>
  </si>
  <si>
    <t xml:space="preserve">Photography</t>
  </si>
  <si>
    <t xml:space="preserve">Politics</t>
  </si>
  <si>
    <t xml:space="preserve">Table 6: Provisional Advanced Higher Attainment</t>
  </si>
  <si>
    <t xml:space="preserve">Art and Design (Design)</t>
  </si>
  <si>
    <t xml:space="preserve">Art and Design (Expressive)</t>
  </si>
  <si>
    <t xml:space="preserve">Mathematics of Mechanics</t>
  </si>
  <si>
    <t xml:space="preserve">Music: Portfolio</t>
  </si>
  <si>
    <t xml:space="preserve">Statistics</t>
  </si>
  <si>
    <t xml:space="preserve">Table 7: Provisional Scottish Baccalaureate Attainment</t>
  </si>
  <si>
    <t xml:space="preserve">Distinction Count 2024</t>
  </si>
  <si>
    <t xml:space="preserve">Distinction Percentage 2024</t>
  </si>
  <si>
    <t xml:space="preserve">Total Pass Count 2024</t>
  </si>
  <si>
    <t xml:space="preserve">Total Pass Percentage 2024</t>
  </si>
  <si>
    <t xml:space="preserve">Distinction Count 2023</t>
  </si>
  <si>
    <t xml:space="preserve">Distinction Percentage 2023</t>
  </si>
  <si>
    <t xml:space="preserve">Total Pass Count 2023</t>
  </si>
  <si>
    <t xml:space="preserve">Total Pass Percentage 2023</t>
  </si>
  <si>
    <t xml:space="preserve">Distinction Count 2022</t>
  </si>
  <si>
    <t xml:space="preserve">Distinction Percentage 2022</t>
  </si>
  <si>
    <t xml:space="preserve">Total Pass Count 2022</t>
  </si>
  <si>
    <t xml:space="preserve">Total Pass Percentage 2022</t>
  </si>
  <si>
    <t xml:space="preserve">Distinction Count 2021</t>
  </si>
  <si>
    <t xml:space="preserve">Distinction Percentage 2021</t>
  </si>
  <si>
    <t xml:space="preserve">Total Pass Count 2021</t>
  </si>
  <si>
    <t xml:space="preserve">Total Pass Percentage 2021</t>
  </si>
  <si>
    <t xml:space="preserve">Distinction Count 2020</t>
  </si>
  <si>
    <t xml:space="preserve">Distinction Percentage 2020</t>
  </si>
  <si>
    <t xml:space="preserve">Total Pass Count 2020</t>
  </si>
  <si>
    <t xml:space="preserve">Total Pass Percentage 2020</t>
  </si>
  <si>
    <t xml:space="preserve">Distinction Count 2019</t>
  </si>
  <si>
    <t xml:space="preserve">Distinction Percentage 2019</t>
  </si>
  <si>
    <t xml:space="preserve">Total Pass Count 2019</t>
  </si>
  <si>
    <t xml:space="preserve">Total Pass Percentage 2019</t>
  </si>
  <si>
    <t xml:space="preserve">Expressive Arts</t>
  </si>
  <si>
    <t xml:space="preserve">Languages</t>
  </si>
  <si>
    <t xml:space="preserve">Social Sciences</t>
  </si>
  <si>
    <t xml:space="preserve">Table 8: Provisional Skills for Work Attainment</t>
  </si>
  <si>
    <t xml:space="preserve">Level</t>
  </si>
  <si>
    <t xml:space="preserve">SCQF3</t>
  </si>
  <si>
    <t xml:space="preserve">Total - SCQF3</t>
  </si>
  <si>
    <t xml:space="preserve">SCQF4</t>
  </si>
  <si>
    <t xml:space="preserve">Total - SCQF4</t>
  </si>
  <si>
    <t xml:space="preserve">SCQF5</t>
  </si>
  <si>
    <t xml:space="preserve">Total - SCQF5</t>
  </si>
  <si>
    <t xml:space="preserve">SCQF6</t>
  </si>
  <si>
    <t xml:space="preserve">Total - SCQF6</t>
  </si>
  <si>
    <t xml:space="preserve">Practical Experiences: Construction and Engineering</t>
  </si>
  <si>
    <t xml:space="preserve">Automotive Skills</t>
  </si>
  <si>
    <t xml:space="preserve">Building Services Engineering</t>
  </si>
  <si>
    <t xml:space="preserve">Construction Crafts</t>
  </si>
  <si>
    <t xml:space="preserve">Creative Digital Media</t>
  </si>
  <si>
    <t xml:space="preserve">Early Education and Childcare</t>
  </si>
  <si>
    <t xml:space="preserve">Early Learning and Childcare</t>
  </si>
  <si>
    <t xml:space="preserve">Engineering Skills</t>
  </si>
  <si>
    <t xml:space="preserve">Hairdressing</t>
  </si>
  <si>
    <t xml:space="preserve">Health Sector</t>
  </si>
  <si>
    <t xml:space="preserve">Hospitality</t>
  </si>
  <si>
    <t xml:space="preserve">Na Meadhanan Cruthachail Didseatach (Creative Digital Media)</t>
  </si>
  <si>
    <t xml:space="preserve">Rural Skills</t>
  </si>
  <si>
    <t xml:space="preserve">Sport and Recreation</t>
  </si>
  <si>
    <t xml:space="preserve">Travel and Tourism</t>
  </si>
  <si>
    <t xml:space="preserve">Uniformed and Emergency Services</t>
  </si>
  <si>
    <t xml:space="preserve">Creative Industries</t>
  </si>
  <si>
    <t xml:space="preserve">Energy</t>
  </si>
  <si>
    <t xml:space="preserve">Financial Services</t>
  </si>
  <si>
    <t xml:space="preserve">Laboratory Science</t>
  </si>
  <si>
    <t xml:space="preserve">Maritime Skills</t>
  </si>
  <si>
    <t xml:space="preserve">Retailing</t>
  </si>
  <si>
    <t xml:space="preserve">Textiles Industry</t>
  </si>
  <si>
    <t xml:space="preserve">Beauty</t>
  </si>
  <si>
    <t xml:space="preserve">Health and Social Care</t>
  </si>
  <si>
    <t xml:space="preserve">Table 9: Provisional Awards Attainment</t>
  </si>
  <si>
    <t xml:space="preserve">Some shorthand is used in this table, [c] where the value is suppressed to protect against the risk of disclosure of personal information and [z] for not applicable.</t>
  </si>
  <si>
    <t xml:space="preserve">SCQF1</t>
  </si>
  <si>
    <t xml:space="preserve">Total - SCQF1</t>
  </si>
  <si>
    <t xml:space="preserve">SCQF2</t>
  </si>
  <si>
    <t xml:space="preserve">Total - SCQF2</t>
  </si>
  <si>
    <t xml:space="preserve">SCQF7</t>
  </si>
  <si>
    <t xml:space="preserve">Total - SCQF7</t>
  </si>
  <si>
    <t xml:space="preserve">Adult Learning and Transition Bronze Award</t>
  </si>
  <si>
    <t xml:space="preserve">Adult Learning and Transition Gold Award</t>
  </si>
  <si>
    <t xml:space="preserve">Adult Learning and Transition Silver Award</t>
  </si>
  <si>
    <t xml:space="preserve">Cycling Award</t>
  </si>
  <si>
    <t xml:space="preserve">Personal Achievement Bronze Award</t>
  </si>
  <si>
    <t xml:space="preserve">Personal Achievement Gold Award</t>
  </si>
  <si>
    <t xml:space="preserve">Personal Achievement Silver Award</t>
  </si>
  <si>
    <t xml:space="preserve">Personal Development Award</t>
  </si>
  <si>
    <t xml:space="preserve">Scottish Studies Award</t>
  </si>
  <si>
    <t xml:space="preserve">Steps to Work Award</t>
  </si>
  <si>
    <t xml:space="preserve">Award in Religion, Belief and Values</t>
  </si>
  <si>
    <t xml:space="preserve">Award in Volunteering Skills</t>
  </si>
  <si>
    <t xml:space="preserve">British Sign Language</t>
  </si>
  <si>
    <t xml:space="preserve">Employability Award</t>
  </si>
  <si>
    <t xml:space="preserve">Modern Languages for Life and Work Award</t>
  </si>
  <si>
    <t xml:space="preserve">Scots Language Award</t>
  </si>
  <si>
    <t xml:space="preserve">Wellbeing Award</t>
  </si>
  <si>
    <t xml:space="preserve">Culinary Ability: Food Preparation Award</t>
  </si>
  <si>
    <t xml:space="preserve">Cyber Security Fundamentals</t>
  </si>
  <si>
    <t xml:space="preserve">Internet Safety</t>
  </si>
  <si>
    <t xml:space="preserve">Mental Health and Wellbeing</t>
  </si>
  <si>
    <t xml:space="preserve">Mentoring</t>
  </si>
  <si>
    <t xml:space="preserve">Personal Finance Award</t>
  </si>
  <si>
    <t xml:space="preserve">Preparation for Employment Award</t>
  </si>
  <si>
    <t xml:space="preserve">Safe Road User Award</t>
  </si>
  <si>
    <t xml:space="preserve">Award in Customer Service: Principles and Practices</t>
  </si>
  <si>
    <t xml:space="preserve">Customer Service Award</t>
  </si>
  <si>
    <t xml:space="preserve">Film and Screen</t>
  </si>
  <si>
    <t xml:space="preserve">Leadership Award</t>
  </si>
  <si>
    <t xml:space="preserve">Statistics Award</t>
  </si>
  <si>
    <t xml:space="preserve">Table 10: Provisional National Progression Awards Attainment</t>
  </si>
  <si>
    <t xml:space="preserve">Scottish Bagpipes</t>
  </si>
  <si>
    <t xml:space="preserve">Scottish Pipe Band Drumming</t>
  </si>
  <si>
    <t xml:space="preserve">Climate Change and Sustainability</t>
  </si>
  <si>
    <t xml:space="preserve">Digital Literacy</t>
  </si>
  <si>
    <t xml:space="preserve">Digital Skills</t>
  </si>
  <si>
    <t xml:space="preserve">Enterprise and Employability</t>
  </si>
  <si>
    <t xml:space="preserve">Professional Cookery</t>
  </si>
  <si>
    <t xml:space="preserve">Activity Tourism</t>
  </si>
  <si>
    <t xml:space="preserve">Administrative Activities</t>
  </si>
  <si>
    <t xml:space="preserve">Aquaculture</t>
  </si>
  <si>
    <t xml:space="preserve">Bakery</t>
  </si>
  <si>
    <t xml:space="preserve">Beauty Skills</t>
  </si>
  <si>
    <t xml:space="preserve">Beauty and Digital Communication</t>
  </si>
  <si>
    <t xml:space="preserve">Beauty and Hairstyling</t>
  </si>
  <si>
    <t xml:space="preserve">Business and Marketing</t>
  </si>
  <si>
    <t xml:space="preserve">Computer Games Development</t>
  </si>
  <si>
    <t xml:space="preserve">Computer Refurbishment</t>
  </si>
  <si>
    <t xml:space="preserve">Construction Craft and Technician</t>
  </si>
  <si>
    <t xml:space="preserve">Cosmetology</t>
  </si>
  <si>
    <t xml:space="preserve">Creative Beauty</t>
  </si>
  <si>
    <t xml:space="preserve">Customer Service</t>
  </si>
  <si>
    <t xml:space="preserve">Cyber Security</t>
  </si>
  <si>
    <t xml:space="preserve">Data Science</t>
  </si>
  <si>
    <t xml:space="preserve">Digital Literacies</t>
  </si>
  <si>
    <t xml:space="preserve">Digital Media</t>
  </si>
  <si>
    <t xml:space="preserve">Digital Media Basics</t>
  </si>
  <si>
    <t xml:space="preserve">Digital Passport</t>
  </si>
  <si>
    <t xml:space="preserve">Esports</t>
  </si>
  <si>
    <t xml:space="preserve">Events</t>
  </si>
  <si>
    <t xml:space="preserve">Horse Care</t>
  </si>
  <si>
    <t xml:space="preserve">Horticulture</t>
  </si>
  <si>
    <t xml:space="preserve">Internet Technology</t>
  </si>
  <si>
    <t xml:space="preserve">Mobile Technology</t>
  </si>
  <si>
    <t xml:space="preserve">PC Passport</t>
  </si>
  <si>
    <t xml:space="preserve">PC Passport: Beginner</t>
  </si>
  <si>
    <t xml:space="preserve">Science and Health</t>
  </si>
  <si>
    <t xml:space="preserve">Science and Technology</t>
  </si>
  <si>
    <t xml:space="preserve">Social Software</t>
  </si>
  <si>
    <t xml:space="preserve">Software Development</t>
  </si>
  <si>
    <t xml:space="preserve">Sporting Events: Personal Best</t>
  </si>
  <si>
    <t xml:space="preserve">Sports Coaching: Angling Coarse (Level 1)</t>
  </si>
  <si>
    <t xml:space="preserve">Sports Coaching: Angling Game (Level 1)</t>
  </si>
  <si>
    <t xml:space="preserve">Sports Coaching: Angling Sea (Level 1)</t>
  </si>
  <si>
    <t xml:space="preserve">Sports Coaching: Badminton (Level 1)</t>
  </si>
  <si>
    <t xml:space="preserve">Sports Coaching: Basketball (Level 1)</t>
  </si>
  <si>
    <t xml:space="preserve">Sports Coaching: Boccia (Level 1)</t>
  </si>
  <si>
    <t xml:space="preserve">Sports Coaching: Boxing</t>
  </si>
  <si>
    <t xml:space="preserve">Sports Coaching: Coaching Diving (Level 1)</t>
  </si>
  <si>
    <t xml:space="preserve">Sports Coaching: Coaching Swimming (Level 1)</t>
  </si>
  <si>
    <t xml:space="preserve">Sports Coaching: Coaching Synchronised Swimming (Level 1)</t>
  </si>
  <si>
    <t xml:space="preserve">Sports Coaching: Coaching Water Polo (Level 1)</t>
  </si>
  <si>
    <t xml:space="preserve">Sports Coaching: Curling (Level 1)</t>
  </si>
  <si>
    <t xml:space="preserve">Sports Coaching: Equestrian Generic (Level 1)</t>
  </si>
  <si>
    <t xml:space="preserve">Sports Coaching: General Gymnastics (Level 1)</t>
  </si>
  <si>
    <t xml:space="preserve">Sports Coaching: Gymnastics Acrobatic (Level 1)</t>
  </si>
  <si>
    <t xml:space="preserve">Sports Coaching: Gymnastics Men's Artistic (Level 1)</t>
  </si>
  <si>
    <t xml:space="preserve">Sports Coaching: Gymnastics Pre-School (Level 1)</t>
  </si>
  <si>
    <t xml:space="preserve">Sports Coaching: Gymnastics Rhythmic (Level 1)</t>
  </si>
  <si>
    <t xml:space="preserve">Sports Coaching: Gymnastics Trampolining (Level 1)</t>
  </si>
  <si>
    <t xml:space="preserve">Sports Coaching: Gymnastics Women's Artistic (Level 1)</t>
  </si>
  <si>
    <t xml:space="preserve">Sports Coaching: Hockey (Level 1)</t>
  </si>
  <si>
    <t xml:space="preserve">Sports Coaching: Judo (Level 1)</t>
  </si>
  <si>
    <t xml:space="preserve">Sports Coaching: Netball (Level 1)</t>
  </si>
  <si>
    <t xml:space="preserve">Sports Coaching: Orienteering (Level 1)</t>
  </si>
  <si>
    <t xml:space="preserve">Sports Coaching: Rugby Union (Level 1)</t>
  </si>
  <si>
    <t xml:space="preserve">Sports Coaching: Shinty (Level 1)</t>
  </si>
  <si>
    <t xml:space="preserve">Sports Coaching: Table Tennis (Level 1)</t>
  </si>
  <si>
    <t xml:space="preserve">Sports Coaching: Teaching Aquatics (Level 1)</t>
  </si>
  <si>
    <t xml:space="preserve">Sports Coaching: Team Gymnastics (Level 1)</t>
  </si>
  <si>
    <t xml:space="preserve">Sports Coaching: Tennis (Level 1)</t>
  </si>
  <si>
    <t xml:space="preserve">Sports Coaching: Triathlon (Level 1)</t>
  </si>
  <si>
    <t xml:space="preserve">Sports Coaching: Tumbling (Level 1)</t>
  </si>
  <si>
    <t xml:space="preserve">Tenancy</t>
  </si>
  <si>
    <t xml:space="preserve">Tenancy and Citizenship</t>
  </si>
  <si>
    <t xml:space="preserve">Administration: Information Technology and Audio</t>
  </si>
  <si>
    <t xml:space="preserve">Administration: Medical (Administrative Secretary)</t>
  </si>
  <si>
    <t xml:space="preserve">Administration: Medical Receptionist</t>
  </si>
  <si>
    <t xml:space="preserve">Administration: Office Skills and Services</t>
  </si>
  <si>
    <t xml:space="preserve">Animation</t>
  </si>
  <si>
    <t xml:space="preserve">Applied Sciences</t>
  </si>
  <si>
    <t xml:space="preserve">Art and Design: Digital Media</t>
  </si>
  <si>
    <t xml:space="preserve">Barbering</t>
  </si>
  <si>
    <t xml:space="preserve">Beauty Massage</t>
  </si>
  <si>
    <t xml:space="preserve">Beekeeping</t>
  </si>
  <si>
    <t xml:space="preserve">Built Environment</t>
  </si>
  <si>
    <t xml:space="preserve">Business with Information Technology</t>
  </si>
  <si>
    <t xml:space="preserve">Computer Networks</t>
  </si>
  <si>
    <t xml:space="preserve">Computer Networks and Systems</t>
  </si>
  <si>
    <t xml:space="preserve">Computers and Digital Photography</t>
  </si>
  <si>
    <t xml:space="preserve">Construction</t>
  </si>
  <si>
    <t xml:space="preserve">Construction Operations</t>
  </si>
  <si>
    <t xml:space="preserve">Construction Skills</t>
  </si>
  <si>
    <t xml:space="preserve">Construction: Bricklaying at SCQF Level 5</t>
  </si>
  <si>
    <t xml:space="preserve">Construction: Carpentry and Joinery at SCQF Level 5</t>
  </si>
  <si>
    <t xml:space="preserve">Construction: General Construction Operations at SCQF Level 5</t>
  </si>
  <si>
    <t xml:space="preserve">Construction: Multi Trade at SCQF Level 5</t>
  </si>
  <si>
    <t xml:space="preserve">Construction: Painting and Decorating at SCQF Level 5</t>
  </si>
  <si>
    <t xml:space="preserve">Construction: Plastering at SCQF Level 5</t>
  </si>
  <si>
    <t xml:space="preserve">Construction: Wall and Floor Tiling at SCQF Level 5</t>
  </si>
  <si>
    <t xml:space="preserve">Contemporary Gaelic Songwriting and Production</t>
  </si>
  <si>
    <t xml:space="preserve">Costume: An Introduction to Cutting, Sewing and Surface Decoration</t>
  </si>
  <si>
    <t xml:space="preserve">Criminology</t>
  </si>
  <si>
    <t xml:space="preserve">Crofting</t>
  </si>
  <si>
    <t xml:space="preserve">Digital Media Animation</t>
  </si>
  <si>
    <t xml:space="preserve">Digital Media Editing</t>
  </si>
  <si>
    <t xml:space="preserve">Drawing Skills</t>
  </si>
  <si>
    <t xml:space="preserve">Engineering</t>
  </si>
  <si>
    <t xml:space="preserve">Eye Treatments</t>
  </si>
  <si>
    <t xml:space="preserve">Film and Media</t>
  </si>
  <si>
    <t xml:space="preserve">Furniture Making</t>
  </si>
  <si>
    <t xml:space="preserve">Hand and Foot Care and Nail Art</t>
  </si>
  <si>
    <t xml:space="preserve">Harris Tweed</t>
  </si>
  <si>
    <t xml:space="preserve">Highways Maintenance - Excavation and Reinstatement</t>
  </si>
  <si>
    <t xml:space="preserve">Highways Maintenance - Kerbs and Channels</t>
  </si>
  <si>
    <t xml:space="preserve">Investigation of Modern Agriculture</t>
  </si>
  <si>
    <t xml:space="preserve">Jewellery: Basic Techniques 1</t>
  </si>
  <si>
    <t xml:space="preserve">Jewellery: Basic Techniques 2</t>
  </si>
  <si>
    <t xml:space="preserve">Long Hair Design with Make-Up</t>
  </si>
  <si>
    <t xml:space="preserve">Make-Up Skills</t>
  </si>
  <si>
    <t xml:space="preserve">Make-up and Eye Treatments</t>
  </si>
  <si>
    <t xml:space="preserve">Manicure and Pedicure Skills</t>
  </si>
  <si>
    <t xml:space="preserve">Maritime Studies</t>
  </si>
  <si>
    <t xml:space="preserve">Nail Enhancements</t>
  </si>
  <si>
    <t xml:space="preserve">Oral Health Care: an Introduction</t>
  </si>
  <si>
    <t xml:space="preserve">PC Passport: Intermediate</t>
  </si>
  <si>
    <t xml:space="preserve">Painting</t>
  </si>
  <si>
    <t xml:space="preserve">Playwork and Childcare</t>
  </si>
  <si>
    <t xml:space="preserve">Practical Science</t>
  </si>
  <si>
    <t xml:space="preserve">Racehorse Exercise and Performance</t>
  </si>
  <si>
    <t xml:space="preserve">Racing Yard Routine</t>
  </si>
  <si>
    <t xml:space="preserve">Radio Broadcasting</t>
  </si>
  <si>
    <t xml:space="preserve">Specialist Racehorse Care</t>
  </si>
  <si>
    <t xml:space="preserve">Sport and Fitness: Individual Sports</t>
  </si>
  <si>
    <t xml:space="preserve">Sport and Fitness: Outdoor Sports</t>
  </si>
  <si>
    <t xml:space="preserve">Sport and Fitness: Team Sports</t>
  </si>
  <si>
    <t xml:space="preserve">Sports Coaching: Angling</t>
  </si>
  <si>
    <t xml:space="preserve">Sports Coaching: Angling Game (Level 2)</t>
  </si>
  <si>
    <t xml:space="preserve">Sports Coaching: Badminton (Level 2)</t>
  </si>
  <si>
    <t xml:space="preserve">Sports Coaching: Basketball (Level 2)</t>
  </si>
  <si>
    <t xml:space="preserve">Sports Coaching: Boccia (Level 2)</t>
  </si>
  <si>
    <t xml:space="preserve">Sports Coaching: Coaching Diving (Level 2)</t>
  </si>
  <si>
    <t xml:space="preserve">Sports Coaching: Coaching Swimming (Level 2)</t>
  </si>
  <si>
    <t xml:space="preserve">Sports Coaching: Coaching Water Polo (Level 2)</t>
  </si>
  <si>
    <t xml:space="preserve">Sports Coaching: Curling (Level 2)</t>
  </si>
  <si>
    <t xml:space="preserve">Sports Coaching: Cycling (Level 2)</t>
  </si>
  <si>
    <t xml:space="preserve">Sports Coaching: Equestrian British Dressage (Level 2)</t>
  </si>
  <si>
    <t xml:space="preserve">Sports Coaching: Equestrian Generic (Level 2)</t>
  </si>
  <si>
    <t xml:space="preserve">Sports Coaching: Football</t>
  </si>
  <si>
    <t xml:space="preserve">Sports Coaching: General Gymnastics (Level 2)</t>
  </si>
  <si>
    <t xml:space="preserve">Sports Coaching: Gymnastics Acrobatic (Level 2)</t>
  </si>
  <si>
    <t xml:space="preserve">Sports Coaching: Gymnastics Men's Artistic (Level 2)</t>
  </si>
  <si>
    <t xml:space="preserve">Sports Coaching: Gymnastics Pre-School (Level 2)</t>
  </si>
  <si>
    <t xml:space="preserve">Sports Coaching: Gymnastics Rhythmic (Level 2)</t>
  </si>
  <si>
    <t xml:space="preserve">Sports Coaching: Gymnastics Trampolining (Level 2)</t>
  </si>
  <si>
    <t xml:space="preserve">Sports Coaching: Gymnastics Women's Artistic (Level 2)</t>
  </si>
  <si>
    <t xml:space="preserve">Sports Coaching: Hockey (Level 2)</t>
  </si>
  <si>
    <t xml:space="preserve">Sports Coaching: Judo (Level 2)</t>
  </si>
  <si>
    <t xml:space="preserve">Sports Coaching: Multi-skills (Level 2)</t>
  </si>
  <si>
    <t xml:space="preserve">Sports Coaching: Netball (Level 2)</t>
  </si>
  <si>
    <t xml:space="preserve">Sports Coaching: Orienteering (Level 2)</t>
  </si>
  <si>
    <t xml:space="preserve">Sports Coaching: Rugby Union (Level 2)</t>
  </si>
  <si>
    <t xml:space="preserve">Sports Coaching: Teaching Aquatics (Level 2)</t>
  </si>
  <si>
    <t xml:space="preserve">Sports Coaching: Team Gymnastics (Level 2)</t>
  </si>
  <si>
    <t xml:space="preserve">Sports Coaching: Tennis (Level 2)</t>
  </si>
  <si>
    <t xml:space="preserve">Sports Coaching: Triathlon (Level 2)</t>
  </si>
  <si>
    <t xml:space="preserve">Sports Coaching: Tumbling (Level 2)</t>
  </si>
  <si>
    <t xml:space="preserve">Supply Chain Operations</t>
  </si>
  <si>
    <t xml:space="preserve">Television Production</t>
  </si>
  <si>
    <t xml:space="preserve">Thoroughbred Preparation</t>
  </si>
  <si>
    <t xml:space="preserve">Visual Communications</t>
  </si>
  <si>
    <t xml:space="preserve">Water Operations: an Introduction</t>
  </si>
  <si>
    <t xml:space="preserve">Web Design</t>
  </si>
  <si>
    <t xml:space="preserve">Web Design Fundamentals</t>
  </si>
  <si>
    <t xml:space="preserve">Website Enterprise</t>
  </si>
  <si>
    <t xml:space="preserve">Accountancy</t>
  </si>
  <si>
    <t xml:space="preserve">Achieving Excellence in Sport</t>
  </si>
  <si>
    <t xml:space="preserve">Acting and Performance</t>
  </si>
  <si>
    <t xml:space="preserve">Business Skills</t>
  </si>
  <si>
    <t xml:space="preserve">Creative Hairdressing</t>
  </si>
  <si>
    <t xml:space="preserve">Creative and Digital Media: Technologies, Processes and Practices</t>
  </si>
  <si>
    <t xml:space="preserve">Digital Media Production</t>
  </si>
  <si>
    <t xml:space="preserve">Enterprise and Business</t>
  </si>
  <si>
    <t xml:space="preserve">Exercise and Fitness Leadership</t>
  </si>
  <si>
    <t xml:space="preserve">Food Manufacture</t>
  </si>
  <si>
    <t xml:space="preserve">Health and Social Care: Promoting Reablement</t>
  </si>
  <si>
    <t xml:space="preserve">Health and Social Care: Skills for Practice</t>
  </si>
  <si>
    <t xml:space="preserve">Journalism</t>
  </si>
  <si>
    <t xml:space="preserve">Legal Studies</t>
  </si>
  <si>
    <t xml:space="preserve">Local Food Production</t>
  </si>
  <si>
    <t xml:space="preserve">Music Business</t>
  </si>
  <si>
    <t xml:space="preserve">Music Performing</t>
  </si>
  <si>
    <t xml:space="preserve">Music for Wellbeing</t>
  </si>
  <si>
    <t xml:space="preserve">Musical Theatre</t>
  </si>
  <si>
    <t xml:space="preserve">Oral Health Care</t>
  </si>
  <si>
    <t xml:space="preserve">Organising Volunteering Events in Sport</t>
  </si>
  <si>
    <t xml:space="preserve">Palliative and End of Life Care</t>
  </si>
  <si>
    <t xml:space="preserve">Play in a Sports Environment</t>
  </si>
  <si>
    <t xml:space="preserve">Professional Computer Fundamentals</t>
  </si>
  <si>
    <t xml:space="preserve">Professional Theatre Preparation</t>
  </si>
  <si>
    <t xml:space="preserve">Racehorse Care and Management</t>
  </si>
  <si>
    <t xml:space="preserve">Scientific Technologies</t>
  </si>
  <si>
    <t xml:space="preserve">Social Services and Healthcare</t>
  </si>
  <si>
    <t xml:space="preserve">Social Services: Children and Young People</t>
  </si>
  <si>
    <t xml:space="preserve">Sound Production: Live</t>
  </si>
  <si>
    <t xml:space="preserve">Sound Production: Recording</t>
  </si>
  <si>
    <t xml:space="preserve">Sports Coaching: Badminton (Level 3)</t>
  </si>
  <si>
    <t xml:space="preserve">Sports Coaching: Basketball (Level 3)</t>
  </si>
  <si>
    <t xml:space="preserve">Sports Coaching: Coaching Swimming (Level 3)</t>
  </si>
  <si>
    <t xml:space="preserve">Sports Coaching: Equestrian British Dressage (Level 3)</t>
  </si>
  <si>
    <t xml:space="preserve">Sports Coaching: Equestrian British Eventing (Level 3)</t>
  </si>
  <si>
    <t xml:space="preserve">Sports Coaching: Equestrian Endurance (Level 3)</t>
  </si>
  <si>
    <t xml:space="preserve">Sports Coaching: Equestrian Generic (Level 3)</t>
  </si>
  <si>
    <t xml:space="preserve">Sports Coaching: Judo (Level 3)</t>
  </si>
  <si>
    <t xml:space="preserve">Sports Coaching: Netball (Level 3)</t>
  </si>
  <si>
    <t xml:space="preserve">Sports Coaching: Orienteering (Level 3)</t>
  </si>
  <si>
    <t xml:space="preserve">Sports Coaching: Rugby Union (Level 3)</t>
  </si>
  <si>
    <t xml:space="preserve">Sports Development</t>
  </si>
  <si>
    <t xml:space="preserve">Technical Theatre in Practice</t>
  </si>
  <si>
    <t xml:space="preserve">Theory and Approaches to Youth Work</t>
  </si>
  <si>
    <t xml:space="preserve">Travel Agency Skills</t>
  </si>
  <si>
    <t xml:space="preserve">Zoo Animal Behaviour and Welfare</t>
  </si>
  <si>
    <t xml:space="preserve">Table 11: Provisional National Certificates Attainment</t>
  </si>
  <si>
    <t xml:space="preserve">Employability and Citizenship</t>
  </si>
  <si>
    <t xml:space="preserve">Personal and Vocational Skills</t>
  </si>
  <si>
    <t xml:space="preserve">An Introduction to Horticulture</t>
  </si>
  <si>
    <t xml:space="preserve">Animal Care: An Introduction</t>
  </si>
  <si>
    <t xml:space="preserve">Army Preparation</t>
  </si>
  <si>
    <t xml:space="preserve">Computing with Digital Media</t>
  </si>
  <si>
    <t xml:space="preserve">ESOL for Employability</t>
  </si>
  <si>
    <t xml:space="preserve">Land-based Engineering: An Introduction</t>
  </si>
  <si>
    <t xml:space="preserve">Sport and Fitness</t>
  </si>
  <si>
    <t xml:space="preserve">Administration</t>
  </si>
  <si>
    <t xml:space="preserve">Animal Care</t>
  </si>
  <si>
    <t xml:space="preserve">Beauty Care and Make-Up</t>
  </si>
  <si>
    <t xml:space="preserve">Beauty Therapy Skills</t>
  </si>
  <si>
    <t xml:space="preserve">Child, Health and Social Care</t>
  </si>
  <si>
    <t xml:space="preserve">Computing: Technical Support</t>
  </si>
  <si>
    <t xml:space="preserve">Countryside Management</t>
  </si>
  <si>
    <t xml:space="preserve">Electrical Engineering</t>
  </si>
  <si>
    <t xml:space="preserve">Electronic Engineering</t>
  </si>
  <si>
    <t xml:space="preserve">Engineering Practice</t>
  </si>
  <si>
    <t xml:space="preserve">Engineering Systems</t>
  </si>
  <si>
    <t xml:space="preserve">Events Co-ordination</t>
  </si>
  <si>
    <t xml:space="preserve">Fabrication and Welding Engineering</t>
  </si>
  <si>
    <t xml:space="preserve">Furniture</t>
  </si>
  <si>
    <t xml:space="preserve">Gamekeeping</t>
  </si>
  <si>
    <t xml:space="preserve">Greenkeeping</t>
  </si>
  <si>
    <t xml:space="preserve">Hospitality Operations</t>
  </si>
  <si>
    <t xml:space="preserve">Manufacturing Engineering</t>
  </si>
  <si>
    <t xml:space="preserve">Mechanical Maintenance Engineering</t>
  </si>
  <si>
    <t xml:space="preserve">Acting and Theatre Performance</t>
  </si>
  <si>
    <t xml:space="preserve">Aeronautical Engineering</t>
  </si>
  <si>
    <t xml:space="preserve">Agriculture</t>
  </si>
  <si>
    <t xml:space="preserve">Architecture and Interior Design</t>
  </si>
  <si>
    <t xml:space="preserve">Beauty Care</t>
  </si>
  <si>
    <t xml:space="preserve">Childhood Practice</t>
  </si>
  <si>
    <t xml:space="preserve">Civil Engineering</t>
  </si>
  <si>
    <t xml:space="preserve">Computer Arts and Animation</t>
  </si>
  <si>
    <t xml:space="preserve">Computer Games: Creative Development</t>
  </si>
  <si>
    <t xml:space="preserve">Computer Games: Software Development</t>
  </si>
  <si>
    <t xml:space="preserve">Early Education and Childcare (theory only)</t>
  </si>
  <si>
    <t xml:space="preserve">Fashion Design and Manufacture</t>
  </si>
  <si>
    <t xml:space="preserve">Jewellery</t>
  </si>
  <si>
    <t xml:space="preserve">Land-based Engineering</t>
  </si>
  <si>
    <t xml:space="preserve">Legal Services</t>
  </si>
  <si>
    <t xml:space="preserve">Make-Up Artistry</t>
  </si>
  <si>
    <t xml:space="preserve">Measurement and Control Engineering</t>
  </si>
  <si>
    <t xml:space="preserve">Mechanical Engineering</t>
  </si>
  <si>
    <t xml:space="preserve">Model Making: TV and Film</t>
  </si>
  <si>
    <t xml:space="preserve">Oral Health Care: Preparing for Practice</t>
  </si>
  <si>
    <t xml:space="preserve">Pharmacy Services</t>
  </si>
  <si>
    <t xml:space="preserve">Shipping and Maritime Operations</t>
  </si>
  <si>
    <t xml:space="preserve">Sound Production</t>
  </si>
  <si>
    <t xml:space="preserve">Technical Theatre</t>
  </si>
  <si>
    <t xml:space="preserve">Theatre Design: Set, Costume and Props - An Introduction</t>
  </si>
  <si>
    <t xml:space="preserve">Wellness Therapies</t>
  </si>
  <si>
    <t xml:space="preserve">Working with Communities</t>
  </si>
  <si>
    <t xml:space="preserve">Zoo Animal Care, Behaviour and Welfare</t>
  </si>
  <si>
    <t xml:space="preserve">Table 12: Stage Breakdowns for all qualifications</t>
  </si>
  <si>
    <t xml:space="preserve">Some shorthand is used in this table, [low] for a value less than 0.05%.</t>
  </si>
  <si>
    <t xml:space="preserve">Qualification</t>
  </si>
  <si>
    <t xml:space="preserve">Year</t>
  </si>
  <si>
    <t xml:space="preserve">Third Year</t>
  </si>
  <si>
    <t xml:space="preserve">Fourth Year</t>
  </si>
  <si>
    <t xml:space="preserve">Fifth Year</t>
  </si>
  <si>
    <t xml:space="preserve">Sixth Year</t>
  </si>
  <si>
    <t xml:space="preserve">Other School</t>
  </si>
  <si>
    <t xml:space="preserve">FE College</t>
  </si>
  <si>
    <t xml:space="preserve">Remaining Candidates</t>
  </si>
  <si>
    <t xml:space="preserve">Award</t>
  </si>
  <si>
    <t xml:space="preserve">National 2</t>
  </si>
  <si>
    <t xml:space="preserve">National Progression Award</t>
  </si>
  <si>
    <t xml:space="preserve">National 3</t>
  </si>
  <si>
    <t xml:space="preserve">[low]</t>
  </si>
  <si>
    <t xml:space="preserve">National Certificate</t>
  </si>
  <si>
    <t xml:space="preserve">Skills for Work</t>
  </si>
  <si>
    <t xml:space="preserve">National 4</t>
  </si>
  <si>
    <t xml:space="preserve">National 5</t>
  </si>
  <si>
    <t xml:space="preserve">Higher</t>
  </si>
  <si>
    <t xml:space="preserve">Advanced Higher</t>
  </si>
  <si>
    <t xml:space="preserve">Scottish Baccalaureate</t>
  </si>
  <si>
    <t xml:space="preserve">Notes accompanying this release</t>
  </si>
  <si>
    <t xml:space="preserve">Note number</t>
  </si>
  <si>
    <t xml:space="preserve">Note text</t>
  </si>
  <si>
    <t xml:space="preserve">[note 1]</t>
  </si>
  <si>
    <t xml:space="preserve">All figures are rounded to the nearest five. Figures between one and four inclusive have been suppressed to protect against the risk of disclosure of personal information. All percentage figures for a course have been suppressed where values between one and four inclusive have been suppressed. Cells containing suppressed figures are marked up with the shorthand [c].</t>
  </si>
  <si>
    <t xml:space="preserve">[note 2]</t>
  </si>
  <si>
    <t xml:space="preserve">National Course (National 2 to National 5, Higher, Advanced Higher and Scottish Baccalaureate) statistics relate to information as of 23 July 2024 and are therefore provisional subject to appeals and other post certification procedures. These statistics report overall attainment for whole courses, which may contain multiple forms of assessment including examinations, coursework, and units (internally assessed units enabling learners to demonstrate acquisition of skills).</t>
  </si>
  <si>
    <t xml:space="preserve">[note 3]</t>
  </si>
  <si>
    <t xml:space="preserve">National 2, National 3 and Skills for Work Courses are a flexible provision. Candidates may complete the courses over more than one academic year. The results are not directly comparable with other courses because of this flexibility.</t>
  </si>
  <si>
    <t xml:space="preserve">[note 4]</t>
  </si>
  <si>
    <t xml:space="preserve">Attainment information for SQA's Awards, National Certificate and National Progression Award qualifications in 2024 detail the number of successfully certificated entries between 1 August 2023 and 30 June 2024. The statistics are therefore subject to change when attainment across the complete academic year is published in the December release of the attainment statistics.</t>
  </si>
  <si>
    <t xml:space="preserve">[note 5]</t>
  </si>
  <si>
    <t xml:space="preserve">Grade D, like grades A to C, is reported on the Scottish Qualifications Certificate as a Course award in its own right. Grade D indicates that the learner has achieved all the National Units for the course at that level (if applicable) and has demonstrated sufficient knowledge to achieve the grade.</t>
  </si>
  <si>
    <t xml:space="preserve">[note 6]</t>
  </si>
  <si>
    <t xml:space="preserve">With the phased introduction of the Revised National Qualifications, grade D was extended from a notional 45 to 49% to a notional 40 to 49%. No Award was reduced from a notional 0 to 44% to 0 to 39% as a result of this change to grade D. These changes were implemented for Higher from the 2018 to 2019 academic year and for Advanced Higher from the 2019 to 2020 academic year.</t>
  </si>
  <si>
    <t xml:space="preserve">[note 7]</t>
  </si>
  <si>
    <t xml:space="preserve">A Distinction in The Scottish Baccalaureate requires a grade A in one of the eligible Advanced Higher courses, a further grade A in one other component and a grade B or above in all the remaining components. A Pass is awarded to those who achieve at least a grade C in all mandatory components and who do not meet the criteria for Distinction. Further details on The Scottish Baccalaureate, including eligible courses, can be found on the following page on the SQA website, https://www.sqa.org.uk/sqa/34638.html</t>
  </si>
  <si>
    <t xml:space="preserve">[note 8]</t>
  </si>
  <si>
    <t xml:space="preserve">The stage groups used in the Stage breakdowns table cover third, fourth, fifth, and sixth year school candidates, 'Other School' candidates (which includes first year, second year and adults attending secondary school), Further Education (FE) College, and 'Remaining Candidates' (which covers candidates who are not affiliated to a school or college, for example workplace learners).</t>
  </si>
  <si>
    <t xml:space="preserve">[note 9]</t>
  </si>
  <si>
    <t xml:space="preserve">These statistics do not include 465 entries that were registered for the Incomplete Evidence Contingency (IEC) process, introduced as part of the alternative certification model 2021 to allow candidates who met specific criteria to undertake assessments and be resulted post-August 2021.</t>
  </si>
  <si>
    <t xml:space="preserve">[note 10]</t>
  </si>
  <si>
    <t xml:space="preserve">The number entered for and resulted may change after results day due to completion of post-certification procedures such as appeals and malpractice.</t>
  </si>
  <si>
    <t xml:space="preserve">[note 11]</t>
  </si>
  <si>
    <t xml:space="preserve">Qualifications with no entries in the reporting period are not included.</t>
  </si>
  <si>
    <t xml:space="preserve">[note 12]</t>
  </si>
  <si>
    <t xml:space="preserve">[note 13]</t>
  </si>
  <si>
    <t xml:space="preserve">We welcome your feedback on our publications. Should you have any comments on this statistical release and how to improve it to meet your needs please contact us using data.analytics@sqa.org.uk.</t>
  </si>
</sst>
</file>

<file path=xl/styles.xml><?xml version="1.0" encoding="utf-8"?>
<styleSheet xmlns="http://schemas.openxmlformats.org/spreadsheetml/2006/main">
  <numFmts count="3">
    <numFmt numFmtId="164" formatCode="General"/>
    <numFmt numFmtId="165" formatCode="#,##0"/>
    <numFmt numFmtId="166" formatCode="#,##0.0%"/>
  </numFmts>
  <fonts count="11">
    <font>
      <sz val="12"/>
      <color rgb="FF000000"/>
      <name val="Arial"/>
      <family val="0"/>
      <charset val="1"/>
    </font>
    <font>
      <sz val="10"/>
      <name val="Arial"/>
      <family val="0"/>
    </font>
    <font>
      <sz val="10"/>
      <name val="Arial"/>
      <family val="0"/>
    </font>
    <font>
      <sz val="10"/>
      <name val="Arial"/>
      <family val="0"/>
    </font>
    <font>
      <b val="true"/>
      <sz val="14"/>
      <name val="Arial"/>
      <family val="2"/>
      <charset val="1"/>
    </font>
    <font>
      <b val="true"/>
      <sz val="15"/>
      <color theme="3"/>
      <name val="Calibri"/>
      <family val="2"/>
      <charset val="1"/>
    </font>
    <font>
      <b val="true"/>
      <sz val="14"/>
      <color rgb="FF000000"/>
      <name val="Arial"/>
      <family val="2"/>
      <charset val="1"/>
    </font>
    <font>
      <u val="single"/>
      <sz val="12"/>
      <color rgb="FF0000EE"/>
      <name val="Arial"/>
      <family val="2"/>
      <charset val="1"/>
    </font>
    <font>
      <b val="true"/>
      <sz val="12"/>
      <color rgb="FF000000"/>
      <name val="Arial"/>
      <family val="2"/>
      <charset val="1"/>
    </font>
    <font>
      <sz val="12"/>
      <color rgb="FF000000"/>
      <name val="Arial"/>
      <family val="2"/>
      <charset val="1"/>
    </font>
    <font>
      <u val="single"/>
      <sz val="12"/>
      <color theme="10"/>
      <name val="Arial"/>
      <family val="2"/>
      <charset val="1"/>
    </font>
  </fonts>
  <fills count="2">
    <fill>
      <patternFill patternType="none"/>
    </fill>
    <fill>
      <patternFill patternType="gray125"/>
    </fill>
  </fills>
  <borders count="4">
    <border diagonalUp="false" diagonalDown="false">
      <left/>
      <right/>
      <top/>
      <bottom/>
      <diagonal/>
    </border>
    <border diagonalUp="false" diagonalDown="false">
      <left/>
      <right/>
      <top/>
      <bottom style="thick">
        <color theme="4"/>
      </bottom>
      <diagonal/>
    </border>
    <border diagonalUp="false" diagonalDown="false">
      <left/>
      <right/>
      <top/>
      <bottom style="thin"/>
      <diagonal/>
    </border>
    <border diagonalUp="false" diagonalDown="false">
      <left/>
      <right/>
      <top style="thin"/>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0" fillId="0" borderId="0" applyFont="true" applyBorder="false" applyAlignment="true" applyProtection="false">
      <alignment horizontal="general" vertical="bottom" textRotation="0" wrapText="false" indent="0" shrinkToFit="false"/>
    </xf>
    <xf numFmtId="164" fontId="5" fillId="0" borderId="1" applyFont="true" applyBorder="true" applyAlignment="true" applyProtection="false">
      <alignment horizontal="general" vertical="bottom" textRotation="0" wrapText="false" indent="0" shrinkToFit="false"/>
    </xf>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21" applyFont="true" applyBorder="true" applyAlignment="true" applyProtection="true">
      <alignment horizontal="general" vertical="center" textRotation="0" wrapText="fals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2" xfId="0" applyFont="true" applyBorder="true" applyAlignment="true" applyProtection="true">
      <alignment horizontal="center" vertical="bottom" textRotation="0" wrapText="false" indent="0" shrinkToFit="false"/>
      <protection locked="true" hidden="false"/>
    </xf>
    <xf numFmtId="165" fontId="0" fillId="0" borderId="0" xfId="0" applyFont="false" applyBorder="false" applyAlignment="true" applyProtection="true">
      <alignment horizontal="right" vertical="bottom" textRotation="0" wrapText="false" indent="0" shrinkToFit="false"/>
      <protection locked="true" hidden="false"/>
    </xf>
    <xf numFmtId="166" fontId="0" fillId="0" borderId="0" xfId="0" applyFont="false" applyBorder="false" applyAlignment="true" applyProtection="true">
      <alignment horizontal="right" vertical="bottom" textRotation="0" wrapText="false" indent="0" shrinkToFit="false"/>
      <protection locked="true" hidden="false"/>
    </xf>
    <xf numFmtId="164" fontId="0" fillId="0" borderId="3" xfId="0" applyFont="true" applyBorder="true" applyAlignment="true" applyProtection="true">
      <alignment horizontal="general" vertical="bottom" textRotation="0" wrapText="false" indent="0" shrinkToFit="false"/>
      <protection locked="true" hidden="false"/>
    </xf>
    <xf numFmtId="165" fontId="0" fillId="0" borderId="3" xfId="0" applyFont="false" applyBorder="true" applyAlignment="true" applyProtection="true">
      <alignment horizontal="right" vertical="bottom" textRotation="0" wrapText="false" indent="0" shrinkToFit="false"/>
      <protection locked="true" hidden="false"/>
    </xf>
    <xf numFmtId="166" fontId="0" fillId="0" borderId="3" xfId="0" applyFont="false" applyBorder="true" applyAlignment="true" applyProtection="true">
      <alignment horizontal="right"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5" fontId="9" fillId="0" borderId="0" xfId="0" applyFont="true" applyBorder="false" applyAlignment="true" applyProtection="true">
      <alignment horizontal="right" vertical="bottom" textRotation="0" wrapText="false" indent="0" shrinkToFit="false"/>
      <protection locked="true" hidden="false"/>
    </xf>
    <xf numFmtId="166" fontId="9" fillId="0" borderId="0" xfId="0" applyFont="true" applyBorder="false" applyAlignment="true" applyProtection="true">
      <alignment horizontal="right" vertical="bottom" textRotation="0" wrapText="false" indent="0" shrinkToFit="false"/>
      <protection locked="true" hidden="false"/>
    </xf>
    <xf numFmtId="165" fontId="9" fillId="0" borderId="3" xfId="0" applyFont="true" applyBorder="true" applyAlignment="true" applyProtection="true">
      <alignment horizontal="right" vertical="bottom" textRotation="0" wrapText="false" indent="0" shrinkToFit="false"/>
      <protection locked="true" hidden="false"/>
    </xf>
    <xf numFmtId="166" fontId="9" fillId="0" borderId="3" xfId="0" applyFont="true" applyBorder="true" applyAlignment="true" applyProtection="true">
      <alignment horizontal="right" vertical="bottom" textRotation="0" wrapText="false" indent="0" shrinkToFit="false"/>
      <protection locked="true" hidden="false"/>
    </xf>
    <xf numFmtId="164" fontId="9" fillId="0" borderId="3"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10" fillId="0" borderId="0" xfId="20" applyFont="true" applyBorder="true" applyAlignment="true" applyProtection="true">
      <alignment horizontal="general" vertical="top"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Excel Built-in Heading 1" xfId="21"/>
    <cellStyle name="*unknown*" xfId="20" builtinId="8"/>
  </cellStyles>
  <dxfs count="3">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EE"/>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ables/table1.xml><?xml version="1.0" encoding="utf-8"?>
<table xmlns="http://schemas.openxmlformats.org/spreadsheetml/2006/main" id="1" name="notes_accompanying_this_release" displayName="notes_accompanying_this_release" ref="A3:B16" headerRowCount="1" totalsRowCount="0" totalsRowShown="0">
  <tableColumns count="2">
    <tableColumn id="1" name="Note number"/>
    <tableColumn id="2" name="Note text"/>
  </tableColumns>
</table>
</file>

<file path=xl/tables/table2.xml><?xml version="1.0" encoding="utf-8"?>
<table xmlns="http://schemas.openxmlformats.org/spreadsheetml/2006/main" id="2" name="table_10_provisional_national_progression_awards_attainment" displayName="table_10_provisional_national_progression_awards_attainment" ref="A4:H289" headerRowCount="1" totalsRowCount="0" totalsRowShown="0">
  <tableColumns count="8">
    <tableColumn id="1" name="Level"/>
    <tableColumn id="2" name="Subject"/>
    <tableColumn id="3" name="Awarded Count 2024"/>
    <tableColumn id="4" name="Awarded Count 2023"/>
    <tableColumn id="5" name="Awarded Count 2022"/>
    <tableColumn id="6" name="Awarded Count 2021"/>
    <tableColumn id="7" name="Awarded Count 2020"/>
    <tableColumn id="8" name="Awarded Count 2019"/>
  </tableColumns>
</table>
</file>

<file path=xl/tables/table3.xml><?xml version="1.0" encoding="utf-8"?>
<table xmlns="http://schemas.openxmlformats.org/spreadsheetml/2006/main" id="3" name="table_11_provisional_national_certificates_attainment" displayName="table_11_provisional_national_certificates_attainment" ref="A4:H111" headerRowCount="1" totalsRowCount="0" totalsRowShown="0">
  <tableColumns count="8">
    <tableColumn id="1" name="Level"/>
    <tableColumn id="2" name="Subject"/>
    <tableColumn id="3" name="Awarded Count 2024"/>
    <tableColumn id="4" name="Awarded Count 2023"/>
    <tableColumn id="5" name="Awarded Count 2022"/>
    <tableColumn id="6" name="Awarded Count 2021"/>
    <tableColumn id="7" name="Awarded Count 2020"/>
    <tableColumn id="8" name="Awarded Count 2019"/>
  </tableColumns>
</table>
</file>

<file path=xl/tables/table4.xml><?xml version="1.0" encoding="utf-8"?>
<table xmlns="http://schemas.openxmlformats.org/spreadsheetml/2006/main" id="4" name="table_12_stage_breakdowns_for_all_qualifications" displayName="table_12_stage_breakdowns_for_all_qualifications" ref="A4:J158" headerRowCount="1" totalsRowCount="0" totalsRowShown="0">
  <tableColumns count="10">
    <tableColumn id="1" name="Level"/>
    <tableColumn id="2" name="Qualification"/>
    <tableColumn id="3" name="Year"/>
    <tableColumn id="4" name="Third Year"/>
    <tableColumn id="5" name="Fourth Year"/>
    <tableColumn id="6" name="Fifth Year"/>
    <tableColumn id="7" name="Sixth Year"/>
    <tableColumn id="8" name="Other School"/>
    <tableColumn id="9" name="FE College"/>
    <tableColumn id="10" name="Remaining Candidates"/>
  </tableColumns>
</table>
</file>

<file path=xl/tables/table5.xml><?xml version="1.0" encoding="utf-8"?>
<table xmlns="http://schemas.openxmlformats.org/spreadsheetml/2006/main" id="5" name="table_1_provisional_national_2_attainment" displayName="table_1_provisional_national_2_attainment" ref="A4:S23" headerRowCount="1" totalsRowCount="0" totalsRowShown="0">
  <tableColumns count="19">
    <tableColumn id="1" name="Subject"/>
    <tableColumn id="2" name="Awarded Count 2024"/>
    <tableColumn id="3" name="Awarded Percentage 2024"/>
    <tableColumn id="4" name="Entries 2024"/>
    <tableColumn id="5" name="Awarded Count 2023"/>
    <tableColumn id="6" name="Awarded Percentage 2023"/>
    <tableColumn id="7" name="Entries 2023"/>
    <tableColumn id="8" name="Awarded Count 2022"/>
    <tableColumn id="9" name="Awarded Percentage 2022"/>
    <tableColumn id="10" name="Entries 2022"/>
    <tableColumn id="11" name="Awarded Count 2021"/>
    <tableColumn id="12" name="Awarded Percentage 2021"/>
    <tableColumn id="13" name="Entries 2021"/>
    <tableColumn id="14" name="Awarded Count 2020"/>
    <tableColumn id="15" name="Awarded Percentage 2020"/>
    <tableColumn id="16" name="Entries 2020"/>
    <tableColumn id="17" name="Awarded Count 2019"/>
    <tableColumn id="18" name="Awarded Percentage 2019"/>
    <tableColumn id="19" name="Entries 2019"/>
  </tableColumns>
</table>
</file>

<file path=xl/tables/table6.xml><?xml version="1.0" encoding="utf-8"?>
<table xmlns="http://schemas.openxmlformats.org/spreadsheetml/2006/main" id="6" name="table_2_provisional_national_3_attainment" displayName="table_2_provisional_national_3_attainment" ref="A4:S42" headerRowCount="1" totalsRowCount="0" totalsRowShown="0">
  <tableColumns count="19">
    <tableColumn id="1" name="Subject"/>
    <tableColumn id="2" name="Awarded Count 2024"/>
    <tableColumn id="3" name="Awarded Percentage 2024"/>
    <tableColumn id="4" name="Entries 2024"/>
    <tableColumn id="5" name="Awarded Count 2023"/>
    <tableColumn id="6" name="Awarded Percentage 2023"/>
    <tableColumn id="7" name="Entries 2023"/>
    <tableColumn id="8" name="Awarded Count 2022"/>
    <tableColumn id="9" name="Awarded Percentage 2022"/>
    <tableColumn id="10" name="Entries 2022"/>
    <tableColumn id="11" name="Awarded Count 2021"/>
    <tableColumn id="12" name="Awarded Percentage 2021"/>
    <tableColumn id="13" name="Entries 2021"/>
    <tableColumn id="14" name="Awarded Count 2020"/>
    <tableColumn id="15" name="Awarded Percentage 2020"/>
    <tableColumn id="16" name="Entries 2020"/>
    <tableColumn id="17" name="Awarded Count 2019"/>
    <tableColumn id="18" name="Awarded Percentage 2019"/>
    <tableColumn id="19" name="Entries 2019"/>
  </tableColumns>
</table>
</file>

<file path=xl/tables/table7.xml><?xml version="1.0" encoding="utf-8"?>
<table xmlns="http://schemas.openxmlformats.org/spreadsheetml/2006/main" id="7" name="table_3_provisional_national_4_attainment" displayName="table_3_provisional_national_4_attainment" ref="A4:S54" headerRowCount="1" totalsRowCount="0" totalsRowShown="0">
  <tableColumns count="19">
    <tableColumn id="1" name="Subject"/>
    <tableColumn id="2" name="Awarded Count 2024"/>
    <tableColumn id="3" name="Awarded Percentage 2024"/>
    <tableColumn id="4" name="Entries 2024"/>
    <tableColumn id="5" name="Awarded Count 2023"/>
    <tableColumn id="6" name="Awarded Percentage 2023"/>
    <tableColumn id="7" name="Entries 2023"/>
    <tableColumn id="8" name="Awarded Count 2022"/>
    <tableColumn id="9" name="Awarded Percentage 2022"/>
    <tableColumn id="10" name="Entries 2022"/>
    <tableColumn id="11" name="Awarded Count 2021"/>
    <tableColumn id="12" name="Awarded Percentage 2021"/>
    <tableColumn id="13" name="Entries 2021"/>
    <tableColumn id="14" name="Awarded Count 2020"/>
    <tableColumn id="15" name="Awarded Percentage 2020"/>
    <tableColumn id="16" name="Entries 2020"/>
    <tableColumn id="17" name="Awarded Count 2019"/>
    <tableColumn id="18" name="Awarded Percentage 2019"/>
    <tableColumn id="19" name="Entries 2019"/>
  </tableColumns>
</table>
</file>

<file path=xl/tables/table8.xml><?xml version="1.0" encoding="utf-8"?>
<table xmlns="http://schemas.openxmlformats.org/spreadsheetml/2006/main" id="8" name="table_4_provisional_national_5_attainment" displayName="table_4_provisional_national_5_attainment" ref="A3:BO59" headerRowCount="1" totalsRowCount="0" totalsRowShown="0">
  <tableColumns count="67">
    <tableColumn id="1" name="Subject"/>
    <tableColumn id="2" name="Grade A Count 2024"/>
    <tableColumn id="3" name="Grade A Percentage 2024"/>
    <tableColumn id="4" name="Grade A-B Count 2024"/>
    <tableColumn id="5" name="Grade A-B Percentage 2024"/>
    <tableColumn id="6" name="Grade A-C Count 2024"/>
    <tableColumn id="7" name="Grade A-C Percentage 2024"/>
    <tableColumn id="8" name="Grade A-D Count 2024"/>
    <tableColumn id="9" name="Grade A-D Percentage 2024"/>
    <tableColumn id="10" name="No Award Count 2024"/>
    <tableColumn id="11" name="No Award Percentage 2024"/>
    <tableColumn id="12" name="Entries 2024"/>
    <tableColumn id="13" name="Grade A Count 2023"/>
    <tableColumn id="14" name="Grade A Percentage 2023"/>
    <tableColumn id="15" name="Grade A-B Count 2023"/>
    <tableColumn id="16" name="Grade A-B Percentage 2023"/>
    <tableColumn id="17" name="Grade A-C Count 2023"/>
    <tableColumn id="18" name="Grade A-C Percentage 2023"/>
    <tableColumn id="19" name="Grade A-D Count 2023"/>
    <tableColumn id="20" name="Grade A-D Percentage 2023"/>
    <tableColumn id="21" name="No Award Count 2023"/>
    <tableColumn id="22" name="No Award Percentage 2023"/>
    <tableColumn id="23" name="Entries 2023"/>
    <tableColumn id="24" name="Grade A Count 2022"/>
    <tableColumn id="25" name="Grade A Percentage 2022"/>
    <tableColumn id="26" name="Grade A-B Count 2022"/>
    <tableColumn id="27" name="Grade A-B Percentage 2022"/>
    <tableColumn id="28" name="Grade A-C Count 2022"/>
    <tableColumn id="29" name="Grade A-C Percentage 2022"/>
    <tableColumn id="30" name="Grade A-D Count 2022"/>
    <tableColumn id="31" name="Grade A-D Percentage 2022"/>
    <tableColumn id="32" name="No Award Count 2022"/>
    <tableColumn id="33" name="No Award Percentage 2022"/>
    <tableColumn id="34" name="Entries 2022"/>
    <tableColumn id="35" name="Grade A Count 2021"/>
    <tableColumn id="36" name="Grade A Percentage 2021"/>
    <tableColumn id="37" name="Grade A-B Count 2021"/>
    <tableColumn id="38" name="Grade A-B Percentage 2021"/>
    <tableColumn id="39" name="Grade A-C Count 2021"/>
    <tableColumn id="40" name="Grade A-C Percentage 2021"/>
    <tableColumn id="41" name="Grade A-D Count 2021"/>
    <tableColumn id="42" name="Grade A-D Percentage 2021"/>
    <tableColumn id="43" name="No Award Count 2021"/>
    <tableColumn id="44" name="No Award Percentage 2021"/>
    <tableColumn id="45" name="Entries 2021"/>
    <tableColumn id="46" name="Grade A Count 2020"/>
    <tableColumn id="47" name="Grade A Percentage 2020"/>
    <tableColumn id="48" name="Grade A-B Count 2020"/>
    <tableColumn id="49" name="Grade A-B Percentage 2020"/>
    <tableColumn id="50" name="Grade A-C Count 2020"/>
    <tableColumn id="51" name="Grade A-C Percentage 2020"/>
    <tableColumn id="52" name="Grade A-D Count 2020"/>
    <tableColumn id="53" name="Grade A-D Percentage 2020"/>
    <tableColumn id="54" name="No Award Count 2020"/>
    <tableColumn id="55" name="No Award Percentage 2020"/>
    <tableColumn id="56" name="Entries 2020"/>
    <tableColumn id="57" name="Grade A Count 2019"/>
    <tableColumn id="58" name="Grade A Percentage 2019"/>
    <tableColumn id="59" name="Grade A-B Count 2019"/>
    <tableColumn id="60" name="Grade A-B Percentage 2019"/>
    <tableColumn id="61" name="Grade A-C Count 2019"/>
    <tableColumn id="62" name="Grade A-C Percentage 2019"/>
    <tableColumn id="63" name="Grade A-D Count 2019"/>
    <tableColumn id="64" name="Grade A-D Percentage 2019"/>
    <tableColumn id="65" name="No Award Count 2019"/>
    <tableColumn id="66" name="No Award Percentage 2019"/>
    <tableColumn id="67" name="Entries 2019"/>
  </tableColumns>
</table>
</file>

<file path=xl/tables/table9.xml><?xml version="1.0" encoding="utf-8"?>
<table xmlns="http://schemas.openxmlformats.org/spreadsheetml/2006/main" id="9" name="table_5_provisional_higher_attainment" displayName="table_5_provisional_higher_attainment" ref="A3:BO57" headerRowCount="1" totalsRowCount="0" totalsRowShown="0">
  <tableColumns count="67">
    <tableColumn id="1" name="Subject"/>
    <tableColumn id="2" name="Grade A Count 2024"/>
    <tableColumn id="3" name="Grade A Percentage 2024"/>
    <tableColumn id="4" name="Grade A-B Count 2024"/>
    <tableColumn id="5" name="Grade A-B Percentage 2024"/>
    <tableColumn id="6" name="Grade A-C Count 2024"/>
    <tableColumn id="7" name="Grade A-C Percentage 2024"/>
    <tableColumn id="8" name="Grade A-D Count 2024"/>
    <tableColumn id="9" name="Grade A-D Percentage 2024"/>
    <tableColumn id="10" name="No Award Count 2024"/>
    <tableColumn id="11" name="No Award Percentage 2024"/>
    <tableColumn id="12" name="Entries 2024"/>
    <tableColumn id="13" name="Grade A Count 2023"/>
    <tableColumn id="14" name="Grade A Percentage 2023"/>
    <tableColumn id="15" name="Grade A-B Count 2023"/>
    <tableColumn id="16" name="Grade A-B Percentage 2023"/>
    <tableColumn id="17" name="Grade A-C Count 2023"/>
    <tableColumn id="18" name="Grade A-C Percentage 2023"/>
    <tableColumn id="19" name="Grade A-D Count 2023"/>
    <tableColumn id="20" name="Grade A-D Percentage 2023"/>
    <tableColumn id="21" name="No Award Count 2023"/>
    <tableColumn id="22" name="No Award Percentage 2023"/>
    <tableColumn id="23" name="Entries 2023"/>
    <tableColumn id="24" name="Grade A Count 2022"/>
    <tableColumn id="25" name="Grade A Percentage 2022"/>
    <tableColumn id="26" name="Grade A-B Count 2022"/>
    <tableColumn id="27" name="Grade A-B Percentage 2022"/>
    <tableColumn id="28" name="Grade A-C Count 2022"/>
    <tableColumn id="29" name="Grade A-C Percentage 2022"/>
    <tableColumn id="30" name="Grade A-D Count 2022"/>
    <tableColumn id="31" name="Grade A-D Percentage 2022"/>
    <tableColumn id="32" name="No Award Count 2022"/>
    <tableColumn id="33" name="No Award Percentage 2022"/>
    <tableColumn id="34" name="Entries 2022"/>
    <tableColumn id="35" name="Grade A Count 2021"/>
    <tableColumn id="36" name="Grade A Percentage 2021"/>
    <tableColumn id="37" name="Grade A-B Count 2021"/>
    <tableColumn id="38" name="Grade A-B Percentage 2021"/>
    <tableColumn id="39" name="Grade A-C Count 2021"/>
    <tableColumn id="40" name="Grade A-C Percentage 2021"/>
    <tableColumn id="41" name="Grade A-D Count 2021"/>
    <tableColumn id="42" name="Grade A-D Percentage 2021"/>
    <tableColumn id="43" name="No Award Count 2021"/>
    <tableColumn id="44" name="No Award Percentage 2021"/>
    <tableColumn id="45" name="Entries 2021"/>
    <tableColumn id="46" name="Grade A Count 2020"/>
    <tableColumn id="47" name="Grade A Percentage 2020"/>
    <tableColumn id="48" name="Grade A-B Count 2020"/>
    <tableColumn id="49" name="Grade A-B Percentage 2020"/>
    <tableColumn id="50" name="Grade A-C Count 2020"/>
    <tableColumn id="51" name="Grade A-C Percentage 2020"/>
    <tableColumn id="52" name="Grade A-D Count 2020"/>
    <tableColumn id="53" name="Grade A-D Percentage 2020"/>
    <tableColumn id="54" name="No Award Count 2020"/>
    <tableColumn id="55" name="No Award Percentage 2020"/>
    <tableColumn id="56" name="Entries 2020"/>
    <tableColumn id="57" name="Grade A Count 2019"/>
    <tableColumn id="58" name="Grade A Percentage 2019"/>
    <tableColumn id="59" name="Grade A-B Count 2019"/>
    <tableColumn id="60" name="Grade A-B Percentage 2019"/>
    <tableColumn id="61" name="Grade A-C Count 2019"/>
    <tableColumn id="62" name="Grade A-C Percentage 2019"/>
    <tableColumn id="63" name="Grade A-D Count 2019"/>
    <tableColumn id="64" name="Grade A-D Percentage 2019"/>
    <tableColumn id="65" name="No Award Count 2019"/>
    <tableColumn id="66" name="No Award Percentage 2019"/>
    <tableColumn id="67" name="Entries 2019"/>
  </tableColumns>
</table>
</file>

<file path=xl/tables/table10.xml><?xml version="1.0" encoding="utf-8"?>
<table xmlns="http://schemas.openxmlformats.org/spreadsheetml/2006/main" id="10" name="table_6_provisional_advanced_higher_attainment" displayName="table_6_provisional_advanced_higher_attainment" ref="A4:BO43" headerRowCount="1" totalsRowCount="0" totalsRowShown="0">
  <tableColumns count="67">
    <tableColumn id="1" name="Subject"/>
    <tableColumn id="2" name="Grade A Count 2024"/>
    <tableColumn id="3" name="Grade A Percentage 2024"/>
    <tableColumn id="4" name="Grade A-B Count 2024"/>
    <tableColumn id="5" name="Grade A-B Percentage 2024"/>
    <tableColumn id="6" name="Grade A-C Count 2024"/>
    <tableColumn id="7" name="Grade A-C Percentage 2024"/>
    <tableColumn id="8" name="Grade A-D Count 2024"/>
    <tableColumn id="9" name="Grade A-D Percentage 2024"/>
    <tableColumn id="10" name="No Award Count 2024"/>
    <tableColumn id="11" name="No Award Percentage 2024"/>
    <tableColumn id="12" name="Entries 2024"/>
    <tableColumn id="13" name="Grade A Count 2023"/>
    <tableColumn id="14" name="Grade A Percentage 2023"/>
    <tableColumn id="15" name="Grade A-B Count 2023"/>
    <tableColumn id="16" name="Grade A-B Percentage 2023"/>
    <tableColumn id="17" name="Grade A-C Count 2023"/>
    <tableColumn id="18" name="Grade A-C Percentage 2023"/>
    <tableColumn id="19" name="Grade A-D Count 2023"/>
    <tableColumn id="20" name="Grade A-D Percentage 2023"/>
    <tableColumn id="21" name="No Award Count 2023"/>
    <tableColumn id="22" name="No Award Percentage 2023"/>
    <tableColumn id="23" name="Entries 2023"/>
    <tableColumn id="24" name="Grade A Count 2022"/>
    <tableColumn id="25" name="Grade A Percentage 2022"/>
    <tableColumn id="26" name="Grade A-B Count 2022"/>
    <tableColumn id="27" name="Grade A-B Percentage 2022"/>
    <tableColumn id="28" name="Grade A-C Count 2022"/>
    <tableColumn id="29" name="Grade A-C Percentage 2022"/>
    <tableColumn id="30" name="Grade A-D Count 2022"/>
    <tableColumn id="31" name="Grade A-D Percentage 2022"/>
    <tableColumn id="32" name="No Award Count 2022"/>
    <tableColumn id="33" name="No Award Percentage 2022"/>
    <tableColumn id="34" name="Entries 2022"/>
    <tableColumn id="35" name="Grade A Count 2021"/>
    <tableColumn id="36" name="Grade A Percentage 2021"/>
    <tableColumn id="37" name="Grade A-B Count 2021"/>
    <tableColumn id="38" name="Grade A-B Percentage 2021"/>
    <tableColumn id="39" name="Grade A-C Count 2021"/>
    <tableColumn id="40" name="Grade A-C Percentage 2021"/>
    <tableColumn id="41" name="Grade A-D Count 2021"/>
    <tableColumn id="42" name="Grade A-D Percentage 2021"/>
    <tableColumn id="43" name="No Award Count 2021"/>
    <tableColumn id="44" name="No Award Percentage 2021"/>
    <tableColumn id="45" name="Entries 2021"/>
    <tableColumn id="46" name="Grade A Count 2020"/>
    <tableColumn id="47" name="Grade A Percentage 2020"/>
    <tableColumn id="48" name="Grade A-B Count 2020"/>
    <tableColumn id="49" name="Grade A-B Percentage 2020"/>
    <tableColumn id="50" name="Grade A-C Count 2020"/>
    <tableColumn id="51" name="Grade A-C Percentage 2020"/>
    <tableColumn id="52" name="Grade A-D Count 2020"/>
    <tableColumn id="53" name="Grade A-D Percentage 2020"/>
    <tableColumn id="54" name="No Award Count 2020"/>
    <tableColumn id="55" name="No Award Percentage 2020"/>
    <tableColumn id="56" name="Entries 2020"/>
    <tableColumn id="57" name="Grade A Count 2019"/>
    <tableColumn id="58" name="Grade A Percentage 2019"/>
    <tableColumn id="59" name="Grade A-B Count 2019"/>
    <tableColumn id="60" name="Grade A-B Percentage 2019"/>
    <tableColumn id="61" name="Grade A-C Count 2019"/>
    <tableColumn id="62" name="Grade A-C Percentage 2019"/>
    <tableColumn id="63" name="Grade A-D Count 2019"/>
    <tableColumn id="64" name="Grade A-D Percentage 2019"/>
    <tableColumn id="65" name="No Award Count 2019"/>
    <tableColumn id="66" name="No Award Percentage 2019"/>
    <tableColumn id="67" name="Entries 2019"/>
  </tableColumns>
</table>
</file>

<file path=xl/tables/table11.xml><?xml version="1.0" encoding="utf-8"?>
<table xmlns="http://schemas.openxmlformats.org/spreadsheetml/2006/main" id="11" name="table_7_provisional_scottish_baccalaureate_attainment" displayName="table_7_provisional_scottish_baccalaureate_attainment" ref="A4:AQ9" headerRowCount="1" totalsRowCount="0" totalsRowShown="0">
  <tableColumns count="43">
    <tableColumn id="1" name="Subject"/>
    <tableColumn id="2" name="Distinction Count 2024"/>
    <tableColumn id="3" name="Distinction Percentage 2024"/>
    <tableColumn id="4" name="Total Pass Count 2024"/>
    <tableColumn id="5" name="Total Pass Percentage 2024"/>
    <tableColumn id="6" name="No Award Count 2024"/>
    <tableColumn id="7" name="No Award Percentage 2024"/>
    <tableColumn id="8" name="Entries 2024"/>
    <tableColumn id="9" name="Distinction Count 2023"/>
    <tableColumn id="10" name="Distinction Percentage 2023"/>
    <tableColumn id="11" name="Total Pass Count 2023"/>
    <tableColumn id="12" name="Total Pass Percentage 2023"/>
    <tableColumn id="13" name="No Award Count 2023"/>
    <tableColumn id="14" name="No Award Percentage 2023"/>
    <tableColumn id="15" name="Entries 2023"/>
    <tableColumn id="16" name="Distinction Count 2022"/>
    <tableColumn id="17" name="Distinction Percentage 2022"/>
    <tableColumn id="18" name="Total Pass Count 2022"/>
    <tableColumn id="19" name="Total Pass Percentage 2022"/>
    <tableColumn id="20" name="No Award Count 2022"/>
    <tableColumn id="21" name="No Award Percentage 2022"/>
    <tableColumn id="22" name="Entries 2022"/>
    <tableColumn id="23" name="Distinction Count 2021"/>
    <tableColumn id="24" name="Distinction Percentage 2021"/>
    <tableColumn id="25" name="Total Pass Count 2021"/>
    <tableColumn id="26" name="Total Pass Percentage 2021"/>
    <tableColumn id="27" name="No Award Count 2021"/>
    <tableColumn id="28" name="No Award Percentage 2021"/>
    <tableColumn id="29" name="Entries 2021"/>
    <tableColumn id="30" name="Distinction Count 2020"/>
    <tableColumn id="31" name="Distinction Percentage 2020"/>
    <tableColumn id="32" name="Total Pass Count 2020"/>
    <tableColumn id="33" name="Total Pass Percentage 2020"/>
    <tableColumn id="34" name="No Award Count 2020"/>
    <tableColumn id="35" name="No Award Percentage 2020"/>
    <tableColumn id="36" name="Entries 2020"/>
    <tableColumn id="37" name="Distinction Count 2019"/>
    <tableColumn id="38" name="Distinction Percentage 2019"/>
    <tableColumn id="39" name="Total Pass Count 2019"/>
    <tableColumn id="40" name="Total Pass Percentage 2019"/>
    <tableColumn id="41" name="No Award Count 2019"/>
    <tableColumn id="42" name="No Award Percentage 2019"/>
    <tableColumn id="43" name="Entries 2019"/>
  </tableColumns>
</table>
</file>

<file path=xl/tables/table12.xml><?xml version="1.0" encoding="utf-8"?>
<table xmlns="http://schemas.openxmlformats.org/spreadsheetml/2006/main" id="12" name="table_8_provisional_skills_for_work_attainment" displayName="table_8_provisional_skills_for_work_attainment" ref="A4:T42" headerRowCount="1" totalsRowCount="0" totalsRowShown="0">
  <tableColumns count="20">
    <tableColumn id="1" name="Level"/>
    <tableColumn id="2" name="Subject"/>
    <tableColumn id="3" name="Awarded Count 2024"/>
    <tableColumn id="4" name="Awarded Percentage 2024"/>
    <tableColumn id="5" name="Entries 2024"/>
    <tableColumn id="6" name="Awarded Count 2023"/>
    <tableColumn id="7" name="Awarded Percentage 2023"/>
    <tableColumn id="8" name="Entries 2023"/>
    <tableColumn id="9" name="Awarded Count 2022"/>
    <tableColumn id="10" name="Awarded Percentage 2022"/>
    <tableColumn id="11" name="Entries 2022"/>
    <tableColumn id="12" name="Awarded Count 2021"/>
    <tableColumn id="13" name="Awarded Percentage 2021"/>
    <tableColumn id="14" name="Entries 2021"/>
    <tableColumn id="15" name="Awarded Count 2020"/>
    <tableColumn id="16" name="Awarded Percentage 2020"/>
    <tableColumn id="17" name="Entries 2020"/>
    <tableColumn id="18" name="Awarded Count 2019"/>
    <tableColumn id="19" name="Awarded Percentage 2019"/>
    <tableColumn id="20" name="Entries 2019"/>
  </tableColumns>
</table>
</file>

<file path=xl/tables/table13.xml><?xml version="1.0" encoding="utf-8"?>
<table xmlns="http://schemas.openxmlformats.org/spreadsheetml/2006/main" id="13" name="table_9_provisional_awards_attainment" displayName="table_9_provisional_awards_attainment" ref="A4:H80" headerRowCount="1" totalsRowCount="0" totalsRowShown="0">
  <tableColumns count="8">
    <tableColumn id="1" name="Level"/>
    <tableColumn id="2" name="Subject"/>
    <tableColumn id="3" name="Awarded Count 2024"/>
    <tableColumn id="4" name="Awarded Count 2023"/>
    <tableColumn id="5" name="Awarded Count 2022"/>
    <tableColumn id="6" name="Awarded Count 2021"/>
    <tableColumn id="7" name="Awarded Count 2020"/>
    <tableColumn id="8" name="Awarded Count 2019"/>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5.xml"/>
</Relationships>
</file>

<file path=xl/worksheets/_rels/sheet3.xml.rels><?xml version="1.0" encoding="UTF-8"?>
<Relationships xmlns="http://schemas.openxmlformats.org/package/2006/relationships"><Relationship Id="rId1" Type="http://schemas.openxmlformats.org/officeDocument/2006/relationships/table" Target="../tables/table6.xml"/>
</Relationships>
</file>

<file path=xl/worksheets/_rels/sheet4.xml.rels><?xml version="1.0" encoding="UTF-8"?>
<Relationships xmlns="http://schemas.openxmlformats.org/package/2006/relationships"><Relationship Id="rId1" Type="http://schemas.openxmlformats.org/officeDocument/2006/relationships/table" Target="../tables/table7.xml"/>
</Relationships>
</file>

<file path=xl/worksheets/_rels/sheet5.xml.rels><?xml version="1.0" encoding="UTF-8"?>
<Relationships xmlns="http://schemas.openxmlformats.org/package/2006/relationships"><Relationship Id="rId1" Type="http://schemas.openxmlformats.org/officeDocument/2006/relationships/table" Target="../tables/table8.xml"/>
</Relationships>
</file>

<file path=xl/worksheets/_rels/sheet6.xml.rels><?xml version="1.0" encoding="UTF-8"?>
<Relationships xmlns="http://schemas.openxmlformats.org/package/2006/relationships"><Relationship Id="rId1" Type="http://schemas.openxmlformats.org/officeDocument/2006/relationships/table" Target="../tables/table9.xml"/>
</Relationships>
</file>

<file path=xl/worksheets/_rels/sheet7.xml.rels><?xml version="1.0" encoding="UTF-8"?>
<Relationships xmlns="http://schemas.openxmlformats.org/package/2006/relationships"><Relationship Id="rId1" Type="http://schemas.openxmlformats.org/officeDocument/2006/relationships/table" Target="../tables/table10.xml"/>
</Relationships>
</file>

<file path=xl/worksheets/_rels/sheet8.xml.rels><?xml version="1.0" encoding="UTF-8"?>
<Relationships xmlns="http://schemas.openxmlformats.org/package/2006/relationships"><Relationship Id="rId1" Type="http://schemas.openxmlformats.org/officeDocument/2006/relationships/table" Target="../tables/table11.xml"/>
</Relationships>
</file>

<file path=xl/worksheets/_rels/sheet9.xml.rels><?xml version="1.0" encoding="UTF-8"?>
<Relationships xmlns="http://schemas.openxmlformats.org/package/2006/relationships"><Relationship Id="rId1" Type="http://schemas.openxmlformats.org/officeDocument/2006/relationships/table" Target="../tables/table12.xml"/>
</Relationships>
</file>

<file path=xl/worksheets/_rels/sheet10.xml.rels><?xml version="1.0" encoding="UTF-8"?>
<Relationships xmlns="http://schemas.openxmlformats.org/package/2006/relationships"><Relationship Id="rId1" Type="http://schemas.openxmlformats.org/officeDocument/2006/relationships/table" Target="../tables/table13.xml"/>
</Relationships>
</file>

<file path=xl/worksheets/_rels/sheet11.xml.rels><?xml version="1.0" encoding="UTF-8"?>
<Relationships xmlns="http://schemas.openxmlformats.org/package/2006/relationships"><Relationship Id="rId1" Type="http://schemas.openxmlformats.org/officeDocument/2006/relationships/table" Target="../tables/table2.xml"/>
</Relationships>
</file>

<file path=xl/worksheets/_rels/sheet12.xml.rels><?xml version="1.0" encoding="UTF-8"?>
<Relationships xmlns="http://schemas.openxmlformats.org/package/2006/relationships"><Relationship Id="rId1" Type="http://schemas.openxmlformats.org/officeDocument/2006/relationships/table" Target="../tables/table3.xml"/>
</Relationships>
</file>

<file path=xl/worksheets/_rels/sheet13.xml.rels><?xml version="1.0" encoding="UTF-8"?>
<Relationships xmlns="http://schemas.openxmlformats.org/package/2006/relationships"><Relationship Id="rId1" Type="http://schemas.openxmlformats.org/officeDocument/2006/relationships/table" Target="../tables/table4.xml"/>
</Relationships>
</file>

<file path=xl/worksheets/_rels/sheet14.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45 A1"/>
    </sheetView>
  </sheetViews>
  <sheetFormatPr defaultColWidth="11.078125" defaultRowHeight="15" zeroHeight="false" outlineLevelRow="0" outlineLevelCol="0"/>
  <cols>
    <col collapsed="false" customWidth="true" hidden="false" outlineLevel="0" max="1" min="1" style="1" width="70.69"/>
  </cols>
  <sheetData>
    <row r="1" customFormat="false" ht="30" hidden="false" customHeight="true" outlineLevel="0" collapsed="false">
      <c r="A1" s="2" t="s">
        <v>0</v>
      </c>
      <c r="B1" s="3"/>
    </row>
    <row r="2" customFormat="false" ht="29" hidden="false" customHeight="false" outlineLevel="0" collapsed="false">
      <c r="A2" s="4" t="s">
        <v>1</v>
      </c>
    </row>
    <row r="3" customFormat="false" ht="30" hidden="false" customHeight="true" outlineLevel="0" collapsed="false">
      <c r="A3" s="5" t="str">
        <f aca="false">HYPERLINK("#'National_2'!A1", "Table 1: Provisional National 2 Attainment")</f>
        <v>Table 1: Provisional National 2 Attainment</v>
      </c>
    </row>
    <row r="4" customFormat="false" ht="15" hidden="false" customHeight="false" outlineLevel="0" collapsed="false">
      <c r="A4" s="5" t="str">
        <f aca="false">HYPERLINK("#'National_3'!A1", "Table 2: Provisional National 3 Attainment")</f>
        <v>Table 2: Provisional National 3 Attainment</v>
      </c>
    </row>
    <row r="5" customFormat="false" ht="15" hidden="false" customHeight="false" outlineLevel="0" collapsed="false">
      <c r="A5" s="5" t="str">
        <f aca="false">HYPERLINK("#'National_4'!A1", "Table 3: Provisional National 4 Attainment")</f>
        <v>Table 3: Provisional National 4 Attainment</v>
      </c>
    </row>
    <row r="6" customFormat="false" ht="15" hidden="false" customHeight="false" outlineLevel="0" collapsed="false">
      <c r="A6" s="5" t="str">
        <f aca="false">HYPERLINK("#'National_5'!A1", "Table 4: Provisional National 5 Attainment")</f>
        <v>Table 4: Provisional National 5 Attainment</v>
      </c>
    </row>
    <row r="7" customFormat="false" ht="15" hidden="false" customHeight="false" outlineLevel="0" collapsed="false">
      <c r="A7" s="5" t="str">
        <f aca="false">HYPERLINK("#'Higher'!A1", "Table 5: Provisional Higher Attainment")</f>
        <v>Table 5: Provisional Higher Attainment</v>
      </c>
    </row>
    <row r="8" customFormat="false" ht="15" hidden="false" customHeight="false" outlineLevel="0" collapsed="false">
      <c r="A8" s="5" t="str">
        <f aca="false">HYPERLINK("#'Advanced_Higher'!A1", "Table 6: Provisional Advanced Higher Attainment")</f>
        <v>Table 6: Provisional Advanced Higher Attainment</v>
      </c>
    </row>
    <row r="9" customFormat="false" ht="15" hidden="false" customHeight="false" outlineLevel="0" collapsed="false">
      <c r="A9" s="5" t="str">
        <f aca="false">HYPERLINK("#'Scottish_Baccalaureate'!A1", "Table 7: Provisional Scottish Baccalaureate Attainment")</f>
        <v>Table 7: Provisional Scottish Baccalaureate Attainment</v>
      </c>
    </row>
    <row r="10" customFormat="false" ht="15" hidden="false" customHeight="false" outlineLevel="0" collapsed="false">
      <c r="A10" s="5" t="str">
        <f aca="false">HYPERLINK("#'Skills_for_Work'!A1", "Table 8: Provisional Skills for Work Attainment")</f>
        <v>Table 8: Provisional Skills for Work Attainment</v>
      </c>
    </row>
    <row r="11" customFormat="false" ht="15" hidden="false" customHeight="false" outlineLevel="0" collapsed="false">
      <c r="A11" s="5" t="str">
        <f aca="false">HYPERLINK("#'Awards'!A1", "Table 9: Provisional Awards Attainment")</f>
        <v>Table 9: Provisional Awards Attainment</v>
      </c>
    </row>
    <row r="12" customFormat="false" ht="15" hidden="false" customHeight="false" outlineLevel="0" collapsed="false">
      <c r="A12" s="5" t="str">
        <f aca="false">HYPERLINK("#'National_Progression_Awards'!A1", "Table 10: Provisional National Progression Awards Attainment")</f>
        <v>Table 10: Provisional National Progression Awards Attainment</v>
      </c>
    </row>
    <row r="13" customFormat="false" ht="15" hidden="false" customHeight="false" outlineLevel="0" collapsed="false">
      <c r="A13" s="5" t="str">
        <f aca="false">HYPERLINK("#'National_Certificates'!A1", "Table 11: Provisional National Certificates Attainment")</f>
        <v>Table 11: Provisional National Certificates Attainment</v>
      </c>
    </row>
    <row r="14" customFormat="false" ht="15" hidden="false" customHeight="false" outlineLevel="0" collapsed="false">
      <c r="A14" s="5" t="str">
        <f aca="false">HYPERLINK("#'Stage_Breakdowns'!A1", "Table 12: Stage Breakdowns for all qualifications")</f>
        <v>Table 12: Stage Breakdowns for all qualifications</v>
      </c>
    </row>
    <row r="15" customFormat="false" ht="30" hidden="false" customHeight="true" outlineLevel="0" collapsed="false">
      <c r="A15" s="5" t="str">
        <f aca="false">HYPERLINK("#'Notes'!A1", "Notes accompanying this release")</f>
        <v>Notes accompanying this release</v>
      </c>
    </row>
    <row r="16" customFormat="false" ht="30" hidden="false" customHeight="true" outlineLevel="0" collapsed="false">
      <c r="A16" s="1" t="s">
        <v>2</v>
      </c>
    </row>
    <row r="17" customFormat="false" ht="15" hidden="false" customHeight="false" outlineLevel="0" collapsed="false">
      <c r="A17" s="1" t="s">
        <v>3</v>
      </c>
    </row>
    <row r="18" customFormat="false" ht="15" hidden="false" customHeight="false" outlineLevel="0" collapsed="false">
      <c r="A18" s="1" t="s">
        <v>4</v>
      </c>
    </row>
    <row r="19" customFormat="false" ht="15" hidden="false" customHeight="false" outlineLevel="0" collapsed="false">
      <c r="A19" s="1" t="s">
        <v>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45 A1"/>
    </sheetView>
  </sheetViews>
  <sheetFormatPr defaultColWidth="11.078125" defaultRowHeight="15" zeroHeight="false" outlineLevelRow="0" outlineLevelCol="0"/>
  <cols>
    <col collapsed="false" customWidth="true" hidden="false" outlineLevel="0" max="1" min="1" style="1" width="48.69"/>
    <col collapsed="false" customWidth="true" hidden="false" outlineLevel="0" max="2" min="2" style="1" width="19.23"/>
    <col collapsed="false" customWidth="true" hidden="false" outlineLevel="0" max="3" min="3" style="1" width="23.77"/>
    <col collapsed="false" customWidth="true" hidden="false" outlineLevel="0" max="4" min="4" style="1" width="11.69"/>
    <col collapsed="false" customWidth="true" hidden="false" outlineLevel="0" max="5" min="5" style="1" width="19.23"/>
    <col collapsed="false" customWidth="true" hidden="false" outlineLevel="0" max="6" min="6" style="1" width="23.77"/>
    <col collapsed="false" customWidth="true" hidden="false" outlineLevel="0" max="7" min="7" style="1" width="11.69"/>
    <col collapsed="false" customWidth="true" hidden="false" outlineLevel="0" max="8" min="8" style="1" width="19.23"/>
    <col collapsed="false" customWidth="true" hidden="false" outlineLevel="0" max="9" min="9" style="1" width="23.77"/>
    <col collapsed="false" customWidth="true" hidden="false" outlineLevel="0" max="10" min="10" style="1" width="11.69"/>
    <col collapsed="false" customWidth="true" hidden="false" outlineLevel="0" max="11" min="11" style="1" width="19.23"/>
    <col collapsed="false" customWidth="true" hidden="false" outlineLevel="0" max="12" min="12" style="1" width="23.77"/>
    <col collapsed="false" customWidth="true" hidden="false" outlineLevel="0" max="13" min="13" style="1" width="11.69"/>
    <col collapsed="false" customWidth="true" hidden="false" outlineLevel="0" max="14" min="14" style="1" width="19.23"/>
    <col collapsed="false" customWidth="true" hidden="false" outlineLevel="0" max="15" min="15" style="1" width="23.77"/>
    <col collapsed="false" customWidth="true" hidden="false" outlineLevel="0" max="16" min="16" style="1" width="11.69"/>
    <col collapsed="false" customWidth="true" hidden="false" outlineLevel="0" max="17" min="17" style="1" width="19.23"/>
    <col collapsed="false" customWidth="true" hidden="false" outlineLevel="0" max="18" min="18" style="1" width="23.77"/>
    <col collapsed="false" customWidth="true" hidden="false" outlineLevel="0" max="19" min="19" style="1" width="11.69"/>
  </cols>
  <sheetData>
    <row r="1" customFormat="false" ht="30" hidden="false" customHeight="true" outlineLevel="0" collapsed="false">
      <c r="A1" s="2" t="s">
        <v>6</v>
      </c>
    </row>
    <row r="2" customFormat="false" ht="15" hidden="false" customHeight="false" outlineLevel="0" collapsed="false">
      <c r="A2" s="1" t="s">
        <v>7</v>
      </c>
    </row>
    <row r="3" customFormat="false" ht="15" hidden="false" customHeight="false" outlineLevel="0" collapsed="false">
      <c r="A3" s="1" t="s">
        <v>8</v>
      </c>
    </row>
    <row r="4" customFormat="false" ht="15" hidden="false" customHeight="false" outlineLevel="0" collapsed="false">
      <c r="A4" s="6" t="s">
        <v>9</v>
      </c>
      <c r="B4" s="6" t="s">
        <v>10</v>
      </c>
      <c r="C4" s="6" t="s">
        <v>11</v>
      </c>
      <c r="D4" s="6" t="s">
        <v>12</v>
      </c>
      <c r="E4" s="6" t="s">
        <v>13</v>
      </c>
      <c r="F4" s="6" t="s">
        <v>14</v>
      </c>
      <c r="G4" s="6" t="s">
        <v>15</v>
      </c>
      <c r="H4" s="6" t="s">
        <v>16</v>
      </c>
      <c r="I4" s="6" t="s">
        <v>17</v>
      </c>
      <c r="J4" s="6" t="s">
        <v>18</v>
      </c>
      <c r="K4" s="6" t="s">
        <v>19</v>
      </c>
      <c r="L4" s="6" t="s">
        <v>20</v>
      </c>
      <c r="M4" s="6" t="s">
        <v>21</v>
      </c>
      <c r="N4" s="6" t="s">
        <v>22</v>
      </c>
      <c r="O4" s="6" t="s">
        <v>23</v>
      </c>
      <c r="P4" s="6" t="s">
        <v>24</v>
      </c>
      <c r="Q4" s="6" t="s">
        <v>25</v>
      </c>
      <c r="R4" s="6" t="s">
        <v>26</v>
      </c>
      <c r="S4" s="6" t="s">
        <v>27</v>
      </c>
    </row>
    <row r="5" customFormat="false" ht="15" hidden="false" customHeight="false" outlineLevel="0" collapsed="false">
      <c r="A5" s="1" t="s">
        <v>28</v>
      </c>
      <c r="B5" s="7" t="n">
        <v>120</v>
      </c>
      <c r="C5" s="8" t="n">
        <v>0.803</v>
      </c>
      <c r="D5" s="7" t="n">
        <v>150</v>
      </c>
      <c r="E5" s="7" t="n">
        <v>60</v>
      </c>
      <c r="F5" s="8" t="n">
        <v>0.667</v>
      </c>
      <c r="G5" s="7" t="n">
        <v>90</v>
      </c>
      <c r="H5" s="7" t="n">
        <v>20</v>
      </c>
      <c r="I5" s="8" t="n">
        <v>0.606</v>
      </c>
      <c r="J5" s="7" t="n">
        <v>35</v>
      </c>
      <c r="K5" s="7" t="n">
        <v>35</v>
      </c>
      <c r="L5" s="8" t="n">
        <v>0.667</v>
      </c>
      <c r="M5" s="7" t="n">
        <v>55</v>
      </c>
      <c r="N5" s="7" t="n">
        <v>90</v>
      </c>
      <c r="O5" s="8" t="n">
        <v>0.936</v>
      </c>
      <c r="P5" s="7" t="n">
        <v>95</v>
      </c>
      <c r="Q5" s="7" t="n">
        <v>35</v>
      </c>
      <c r="R5" s="8" t="n">
        <v>1</v>
      </c>
      <c r="S5" s="7" t="n">
        <v>35</v>
      </c>
    </row>
    <row r="6" customFormat="false" ht="15" hidden="false" customHeight="false" outlineLevel="0" collapsed="false">
      <c r="A6" s="1" t="s">
        <v>29</v>
      </c>
      <c r="B6" s="7" t="n">
        <v>155</v>
      </c>
      <c r="C6" s="8" t="n">
        <v>0.705</v>
      </c>
      <c r="D6" s="7" t="n">
        <v>215</v>
      </c>
      <c r="E6" s="7" t="n">
        <v>100</v>
      </c>
      <c r="F6" s="8" t="n">
        <v>0.616</v>
      </c>
      <c r="G6" s="7" t="n">
        <v>160</v>
      </c>
      <c r="H6" s="7" t="n">
        <v>85</v>
      </c>
      <c r="I6" s="8" t="n">
        <v>0.647</v>
      </c>
      <c r="J6" s="7" t="n">
        <v>135</v>
      </c>
      <c r="K6" s="7" t="n">
        <v>55</v>
      </c>
      <c r="L6" s="8" t="n">
        <v>0.579</v>
      </c>
      <c r="M6" s="7" t="n">
        <v>95</v>
      </c>
      <c r="N6" s="7" t="n">
        <v>55</v>
      </c>
      <c r="O6" s="8" t="n">
        <v>0.648</v>
      </c>
      <c r="P6" s="7" t="n">
        <v>90</v>
      </c>
      <c r="Q6" s="7" t="n">
        <v>90</v>
      </c>
      <c r="R6" s="8" t="n">
        <v>0.654</v>
      </c>
      <c r="S6" s="7" t="n">
        <v>135</v>
      </c>
    </row>
    <row r="7" customFormat="false" ht="15" hidden="false" customHeight="false" outlineLevel="0" collapsed="false">
      <c r="A7" s="1" t="s">
        <v>30</v>
      </c>
      <c r="B7" s="7" t="n">
        <v>385</v>
      </c>
      <c r="C7" s="8" t="n">
        <v>0.811</v>
      </c>
      <c r="D7" s="7" t="n">
        <v>475</v>
      </c>
      <c r="E7" s="7" t="n">
        <v>405</v>
      </c>
      <c r="F7" s="8" t="n">
        <v>0.808</v>
      </c>
      <c r="G7" s="7" t="n">
        <v>500</v>
      </c>
      <c r="H7" s="7" t="n">
        <v>325</v>
      </c>
      <c r="I7" s="8" t="n">
        <v>0.734</v>
      </c>
      <c r="J7" s="7" t="n">
        <v>445</v>
      </c>
      <c r="K7" s="7" t="n">
        <v>275</v>
      </c>
      <c r="L7" s="8" t="n">
        <v>0.711</v>
      </c>
      <c r="M7" s="7" t="n">
        <v>390</v>
      </c>
      <c r="N7" s="7" t="n">
        <v>250</v>
      </c>
      <c r="O7" s="8" t="n">
        <v>0.709</v>
      </c>
      <c r="P7" s="7" t="n">
        <v>350</v>
      </c>
      <c r="Q7" s="7" t="n">
        <v>265</v>
      </c>
      <c r="R7" s="8" t="n">
        <v>0.761</v>
      </c>
      <c r="S7" s="7" t="n">
        <v>350</v>
      </c>
    </row>
    <row r="8" customFormat="false" ht="15" hidden="false" customHeight="false" outlineLevel="0" collapsed="false">
      <c r="A8" s="1" t="s">
        <v>31</v>
      </c>
      <c r="B8" s="7" t="n">
        <v>260</v>
      </c>
      <c r="C8" s="8" t="n">
        <v>0.738</v>
      </c>
      <c r="D8" s="7" t="n">
        <v>350</v>
      </c>
      <c r="E8" s="7" t="n">
        <v>220</v>
      </c>
      <c r="F8" s="8" t="n">
        <v>0.666</v>
      </c>
      <c r="G8" s="7" t="n">
        <v>330</v>
      </c>
      <c r="H8" s="7" t="n">
        <v>195</v>
      </c>
      <c r="I8" s="8" t="n">
        <v>0.771</v>
      </c>
      <c r="J8" s="7" t="n">
        <v>255</v>
      </c>
      <c r="K8" s="7" t="n">
        <v>165</v>
      </c>
      <c r="L8" s="8" t="n">
        <v>0.782</v>
      </c>
      <c r="M8" s="7" t="n">
        <v>210</v>
      </c>
      <c r="N8" s="7" t="n">
        <v>140</v>
      </c>
      <c r="O8" s="8" t="n">
        <v>0.722</v>
      </c>
      <c r="P8" s="7" t="n">
        <v>195</v>
      </c>
      <c r="Q8" s="7" t="n">
        <v>170</v>
      </c>
      <c r="R8" s="8" t="n">
        <v>0.896</v>
      </c>
      <c r="S8" s="7" t="n">
        <v>190</v>
      </c>
    </row>
    <row r="9" customFormat="false" ht="15" hidden="false" customHeight="false" outlineLevel="0" collapsed="false">
      <c r="A9" s="1" t="s">
        <v>32</v>
      </c>
      <c r="B9" s="7" t="n">
        <v>15</v>
      </c>
      <c r="C9" s="8" t="n">
        <v>0.7</v>
      </c>
      <c r="D9" s="7" t="n">
        <v>20</v>
      </c>
      <c r="E9" s="7" t="n">
        <v>30</v>
      </c>
      <c r="F9" s="8" t="n">
        <v>0.456</v>
      </c>
      <c r="G9" s="7" t="n">
        <v>70</v>
      </c>
      <c r="H9" s="7" t="n">
        <v>25</v>
      </c>
      <c r="I9" s="8" t="n">
        <v>0.51</v>
      </c>
      <c r="J9" s="7" t="n">
        <v>50</v>
      </c>
      <c r="K9" s="7" t="s">
        <v>33</v>
      </c>
      <c r="L9" s="8" t="s">
        <v>33</v>
      </c>
      <c r="M9" s="7" t="n">
        <v>40</v>
      </c>
      <c r="N9" s="7" t="n">
        <v>10</v>
      </c>
      <c r="O9" s="8" t="n">
        <v>0.615</v>
      </c>
      <c r="P9" s="7" t="n">
        <v>15</v>
      </c>
      <c r="Q9" s="7" t="n">
        <v>10</v>
      </c>
      <c r="R9" s="8" t="n">
        <v>0.429</v>
      </c>
      <c r="S9" s="7" t="n">
        <v>20</v>
      </c>
    </row>
    <row r="10" customFormat="false" ht="15" hidden="false" customHeight="false" outlineLevel="0" collapsed="false">
      <c r="A10" s="1" t="s">
        <v>34</v>
      </c>
      <c r="B10" s="7" t="n">
        <v>0</v>
      </c>
      <c r="C10" s="8" t="n">
        <v>0</v>
      </c>
      <c r="D10" s="7" t="s">
        <v>33</v>
      </c>
      <c r="E10" s="7" t="n">
        <v>0</v>
      </c>
      <c r="F10" s="8" t="n">
        <v>0</v>
      </c>
      <c r="G10" s="7" t="s">
        <v>33</v>
      </c>
      <c r="H10" s="7" t="s">
        <v>35</v>
      </c>
      <c r="I10" s="8" t="s">
        <v>35</v>
      </c>
      <c r="J10" s="7" t="n">
        <v>0</v>
      </c>
      <c r="K10" s="7" t="s">
        <v>33</v>
      </c>
      <c r="L10" s="8" t="s">
        <v>33</v>
      </c>
      <c r="M10" s="7" t="s">
        <v>33</v>
      </c>
      <c r="N10" s="7" t="n">
        <v>5</v>
      </c>
      <c r="O10" s="8" t="n">
        <v>1</v>
      </c>
      <c r="P10" s="7" t="n">
        <v>5</v>
      </c>
      <c r="Q10" s="7" t="s">
        <v>33</v>
      </c>
      <c r="R10" s="8" t="s">
        <v>33</v>
      </c>
      <c r="S10" s="7" t="n">
        <v>5</v>
      </c>
    </row>
    <row r="11" customFormat="false" ht="15" hidden="false" customHeight="false" outlineLevel="0" collapsed="false">
      <c r="A11" s="1" t="s">
        <v>36</v>
      </c>
      <c r="B11" s="7" t="s">
        <v>35</v>
      </c>
      <c r="C11" s="8" t="s">
        <v>35</v>
      </c>
      <c r="D11" s="7" t="n">
        <v>0</v>
      </c>
      <c r="E11" s="7" t="s">
        <v>35</v>
      </c>
      <c r="F11" s="8" t="s">
        <v>35</v>
      </c>
      <c r="G11" s="7" t="n">
        <v>0</v>
      </c>
      <c r="H11" s="7" t="s">
        <v>33</v>
      </c>
      <c r="I11" s="8" t="s">
        <v>33</v>
      </c>
      <c r="J11" s="7" t="s">
        <v>33</v>
      </c>
      <c r="K11" s="7" t="s">
        <v>35</v>
      </c>
      <c r="L11" s="8" t="s">
        <v>35</v>
      </c>
      <c r="M11" s="7" t="n">
        <v>0</v>
      </c>
      <c r="N11" s="7" t="s">
        <v>35</v>
      </c>
      <c r="O11" s="8" t="s">
        <v>35</v>
      </c>
      <c r="P11" s="7" t="n">
        <v>0</v>
      </c>
      <c r="Q11" s="7" t="n">
        <v>0</v>
      </c>
      <c r="R11" s="8" t="n">
        <v>0</v>
      </c>
      <c r="S11" s="7" t="s">
        <v>33</v>
      </c>
    </row>
    <row r="12" customFormat="false" ht="15" hidden="false" customHeight="false" outlineLevel="0" collapsed="false">
      <c r="A12" s="1" t="s">
        <v>37</v>
      </c>
      <c r="B12" s="7" t="n">
        <v>5</v>
      </c>
      <c r="C12" s="8" t="n">
        <v>0.462</v>
      </c>
      <c r="D12" s="7" t="n">
        <v>15</v>
      </c>
      <c r="E12" s="7" t="n">
        <v>5</v>
      </c>
      <c r="F12" s="8" t="n">
        <v>0.455</v>
      </c>
      <c r="G12" s="7" t="n">
        <v>10</v>
      </c>
      <c r="H12" s="7" t="s">
        <v>33</v>
      </c>
      <c r="I12" s="8" t="s">
        <v>33</v>
      </c>
      <c r="J12" s="7" t="s">
        <v>33</v>
      </c>
      <c r="K12" s="7" t="s">
        <v>35</v>
      </c>
      <c r="L12" s="8" t="s">
        <v>35</v>
      </c>
      <c r="M12" s="7" t="n">
        <v>0</v>
      </c>
      <c r="N12" s="7" t="n">
        <v>0</v>
      </c>
      <c r="O12" s="8" t="n">
        <v>0</v>
      </c>
      <c r="P12" s="7" t="s">
        <v>33</v>
      </c>
      <c r="Q12" s="7" t="s">
        <v>35</v>
      </c>
      <c r="R12" s="8" t="s">
        <v>35</v>
      </c>
      <c r="S12" s="7" t="n">
        <v>0</v>
      </c>
    </row>
    <row r="13" customFormat="false" ht="15" hidden="false" customHeight="false" outlineLevel="0" collapsed="false">
      <c r="A13" s="1" t="s">
        <v>38</v>
      </c>
      <c r="B13" s="7" t="n">
        <v>130</v>
      </c>
      <c r="C13" s="8" t="n">
        <v>0.718</v>
      </c>
      <c r="D13" s="7" t="n">
        <v>180</v>
      </c>
      <c r="E13" s="7" t="n">
        <v>145</v>
      </c>
      <c r="F13" s="8" t="n">
        <v>0.635</v>
      </c>
      <c r="G13" s="7" t="n">
        <v>230</v>
      </c>
      <c r="H13" s="7" t="n">
        <v>145</v>
      </c>
      <c r="I13" s="8" t="n">
        <v>0.745</v>
      </c>
      <c r="J13" s="7" t="n">
        <v>190</v>
      </c>
      <c r="K13" s="7" t="n">
        <v>70</v>
      </c>
      <c r="L13" s="8" t="n">
        <v>0.504</v>
      </c>
      <c r="M13" s="7" t="n">
        <v>140</v>
      </c>
      <c r="N13" s="7" t="n">
        <v>145</v>
      </c>
      <c r="O13" s="8" t="n">
        <v>0.79</v>
      </c>
      <c r="P13" s="7" t="n">
        <v>185</v>
      </c>
      <c r="Q13" s="7" t="n">
        <v>110</v>
      </c>
      <c r="R13" s="8" t="n">
        <v>0.638</v>
      </c>
      <c r="S13" s="7" t="n">
        <v>175</v>
      </c>
    </row>
    <row r="14" customFormat="false" ht="15" hidden="false" customHeight="false" outlineLevel="0" collapsed="false">
      <c r="A14" s="1" t="s">
        <v>39</v>
      </c>
      <c r="B14" s="7" t="n">
        <v>10</v>
      </c>
      <c r="C14" s="8" t="n">
        <v>1</v>
      </c>
      <c r="D14" s="7" t="n">
        <v>10</v>
      </c>
      <c r="E14" s="7" t="s">
        <v>33</v>
      </c>
      <c r="F14" s="8" t="s">
        <v>33</v>
      </c>
      <c r="G14" s="7" t="n">
        <v>35</v>
      </c>
      <c r="H14" s="7" t="s">
        <v>33</v>
      </c>
      <c r="I14" s="8" t="s">
        <v>33</v>
      </c>
      <c r="J14" s="7" t="n">
        <v>10</v>
      </c>
      <c r="K14" s="7" t="n">
        <v>25</v>
      </c>
      <c r="L14" s="8" t="n">
        <v>0.65</v>
      </c>
      <c r="M14" s="7" t="n">
        <v>40</v>
      </c>
      <c r="N14" s="7" t="n">
        <v>0</v>
      </c>
      <c r="O14" s="8" t="n">
        <v>0</v>
      </c>
      <c r="P14" s="7" t="s">
        <v>33</v>
      </c>
      <c r="Q14" s="7" t="n">
        <v>0</v>
      </c>
      <c r="R14" s="8" t="n">
        <v>0</v>
      </c>
      <c r="S14" s="7" t="n">
        <v>10</v>
      </c>
    </row>
    <row r="15" customFormat="false" ht="15" hidden="false" customHeight="false" outlineLevel="0" collapsed="false">
      <c r="A15" s="1" t="s">
        <v>40</v>
      </c>
      <c r="B15" s="7" t="n">
        <v>405</v>
      </c>
      <c r="C15" s="8" t="n">
        <v>0.733</v>
      </c>
      <c r="D15" s="7" t="n">
        <v>550</v>
      </c>
      <c r="E15" s="7" t="n">
        <v>415</v>
      </c>
      <c r="F15" s="8" t="n">
        <v>0.702</v>
      </c>
      <c r="G15" s="7" t="n">
        <v>595</v>
      </c>
      <c r="H15" s="7" t="n">
        <v>350</v>
      </c>
      <c r="I15" s="8" t="n">
        <v>0.725</v>
      </c>
      <c r="J15" s="7" t="n">
        <v>485</v>
      </c>
      <c r="K15" s="7" t="n">
        <v>360</v>
      </c>
      <c r="L15" s="8" t="n">
        <v>0.716</v>
      </c>
      <c r="M15" s="7" t="n">
        <v>500</v>
      </c>
      <c r="N15" s="7" t="n">
        <v>345</v>
      </c>
      <c r="O15" s="8" t="n">
        <v>0.743</v>
      </c>
      <c r="P15" s="7" t="n">
        <v>465</v>
      </c>
      <c r="Q15" s="7" t="n">
        <v>345</v>
      </c>
      <c r="R15" s="8" t="n">
        <v>0.773</v>
      </c>
      <c r="S15" s="7" t="n">
        <v>445</v>
      </c>
    </row>
    <row r="16" customFormat="false" ht="15" hidden="false" customHeight="false" outlineLevel="0" collapsed="false">
      <c r="A16" s="1" t="s">
        <v>41</v>
      </c>
      <c r="B16" s="7" t="s">
        <v>35</v>
      </c>
      <c r="C16" s="8" t="s">
        <v>35</v>
      </c>
      <c r="D16" s="7" t="n">
        <v>0</v>
      </c>
      <c r="E16" s="7" t="s">
        <v>35</v>
      </c>
      <c r="F16" s="8" t="s">
        <v>35</v>
      </c>
      <c r="G16" s="7" t="n">
        <v>0</v>
      </c>
      <c r="H16" s="7" t="s">
        <v>33</v>
      </c>
      <c r="I16" s="8" t="s">
        <v>33</v>
      </c>
      <c r="J16" s="7" t="s">
        <v>33</v>
      </c>
      <c r="K16" s="7" t="s">
        <v>35</v>
      </c>
      <c r="L16" s="8" t="s">
        <v>35</v>
      </c>
      <c r="M16" s="7" t="n">
        <v>0</v>
      </c>
      <c r="N16" s="7" t="s">
        <v>35</v>
      </c>
      <c r="O16" s="8" t="s">
        <v>35</v>
      </c>
      <c r="P16" s="7" t="n">
        <v>0</v>
      </c>
      <c r="Q16" s="7" t="s">
        <v>33</v>
      </c>
      <c r="R16" s="8" t="s">
        <v>33</v>
      </c>
      <c r="S16" s="7" t="s">
        <v>33</v>
      </c>
    </row>
    <row r="17" customFormat="false" ht="15" hidden="false" customHeight="false" outlineLevel="0" collapsed="false">
      <c r="A17" s="1" t="s">
        <v>42</v>
      </c>
      <c r="B17" s="7" t="n">
        <v>95</v>
      </c>
      <c r="C17" s="8" t="n">
        <v>0.674</v>
      </c>
      <c r="D17" s="7" t="n">
        <v>145</v>
      </c>
      <c r="E17" s="7" t="n">
        <v>105</v>
      </c>
      <c r="F17" s="8" t="n">
        <v>0.691</v>
      </c>
      <c r="G17" s="7" t="n">
        <v>150</v>
      </c>
      <c r="H17" s="7" t="n">
        <v>90</v>
      </c>
      <c r="I17" s="8" t="n">
        <v>0.824</v>
      </c>
      <c r="J17" s="7" t="n">
        <v>110</v>
      </c>
      <c r="K17" s="7" t="n">
        <v>35</v>
      </c>
      <c r="L17" s="8" t="n">
        <v>0.679</v>
      </c>
      <c r="M17" s="7" t="n">
        <v>55</v>
      </c>
      <c r="N17" s="7" t="n">
        <v>75</v>
      </c>
      <c r="O17" s="8" t="n">
        <v>0.804</v>
      </c>
      <c r="P17" s="7" t="n">
        <v>90</v>
      </c>
      <c r="Q17" s="7" t="n">
        <v>65</v>
      </c>
      <c r="R17" s="8" t="n">
        <v>0.65</v>
      </c>
      <c r="S17" s="7" t="n">
        <v>105</v>
      </c>
    </row>
    <row r="18" customFormat="false" ht="15" hidden="false" customHeight="false" outlineLevel="0" collapsed="false">
      <c r="A18" s="1" t="s">
        <v>43</v>
      </c>
      <c r="B18" s="7" t="n">
        <v>210</v>
      </c>
      <c r="C18" s="8" t="n">
        <v>0.837</v>
      </c>
      <c r="D18" s="7" t="n">
        <v>250</v>
      </c>
      <c r="E18" s="7" t="n">
        <v>215</v>
      </c>
      <c r="F18" s="8" t="n">
        <v>0.768</v>
      </c>
      <c r="G18" s="7" t="n">
        <v>280</v>
      </c>
      <c r="H18" s="7" t="n">
        <v>165</v>
      </c>
      <c r="I18" s="8" t="n">
        <v>0.927</v>
      </c>
      <c r="J18" s="7" t="n">
        <v>180</v>
      </c>
      <c r="K18" s="7" t="n">
        <v>130</v>
      </c>
      <c r="L18" s="8" t="n">
        <v>0.782</v>
      </c>
      <c r="M18" s="7" t="n">
        <v>165</v>
      </c>
      <c r="N18" s="7" t="n">
        <v>115</v>
      </c>
      <c r="O18" s="8" t="n">
        <v>0.78</v>
      </c>
      <c r="P18" s="7" t="n">
        <v>150</v>
      </c>
      <c r="Q18" s="7" t="n">
        <v>145</v>
      </c>
      <c r="R18" s="8" t="n">
        <v>0.825</v>
      </c>
      <c r="S18" s="7" t="n">
        <v>175</v>
      </c>
    </row>
    <row r="19" customFormat="false" ht="15" hidden="false" customHeight="false" outlineLevel="0" collapsed="false">
      <c r="A19" s="1" t="s">
        <v>44</v>
      </c>
      <c r="B19" s="7" t="n">
        <v>55</v>
      </c>
      <c r="C19" s="8" t="n">
        <v>0.615</v>
      </c>
      <c r="D19" s="7" t="n">
        <v>90</v>
      </c>
      <c r="E19" s="7" t="n">
        <v>70</v>
      </c>
      <c r="F19" s="8" t="n">
        <v>0.714</v>
      </c>
      <c r="G19" s="7" t="n">
        <v>100</v>
      </c>
      <c r="H19" s="7" t="n">
        <v>80</v>
      </c>
      <c r="I19" s="8" t="n">
        <v>0.806</v>
      </c>
      <c r="J19" s="7" t="n">
        <v>100</v>
      </c>
      <c r="K19" s="7" t="n">
        <v>70</v>
      </c>
      <c r="L19" s="8" t="n">
        <v>0.778</v>
      </c>
      <c r="M19" s="7" t="n">
        <v>90</v>
      </c>
      <c r="N19" s="7" t="n">
        <v>55</v>
      </c>
      <c r="O19" s="8" t="n">
        <v>0.885</v>
      </c>
      <c r="P19" s="7" t="n">
        <v>60</v>
      </c>
      <c r="Q19" s="7" t="n">
        <v>75</v>
      </c>
      <c r="R19" s="8" t="n">
        <v>0.862</v>
      </c>
      <c r="S19" s="7" t="n">
        <v>85</v>
      </c>
    </row>
    <row r="20" customFormat="false" ht="15" hidden="false" customHeight="false" outlineLevel="0" collapsed="false">
      <c r="A20" s="1" t="s">
        <v>45</v>
      </c>
      <c r="B20" s="7" t="n">
        <v>180</v>
      </c>
      <c r="C20" s="8" t="n">
        <v>0.789</v>
      </c>
      <c r="D20" s="7" t="n">
        <v>230</v>
      </c>
      <c r="E20" s="7" t="n">
        <v>195</v>
      </c>
      <c r="F20" s="8" t="n">
        <v>0.714</v>
      </c>
      <c r="G20" s="7" t="n">
        <v>275</v>
      </c>
      <c r="H20" s="7" t="n">
        <v>105</v>
      </c>
      <c r="I20" s="8" t="n">
        <v>0.531</v>
      </c>
      <c r="J20" s="7" t="n">
        <v>195</v>
      </c>
      <c r="K20" s="7" t="n">
        <v>125</v>
      </c>
      <c r="L20" s="8" t="n">
        <v>0.612</v>
      </c>
      <c r="M20" s="7" t="n">
        <v>205</v>
      </c>
      <c r="N20" s="7" t="n">
        <v>100</v>
      </c>
      <c r="O20" s="8" t="n">
        <v>0.786</v>
      </c>
      <c r="P20" s="7" t="n">
        <v>125</v>
      </c>
      <c r="Q20" s="7" t="n">
        <v>100</v>
      </c>
      <c r="R20" s="8" t="n">
        <v>0.721</v>
      </c>
      <c r="S20" s="7" t="n">
        <v>140</v>
      </c>
    </row>
    <row r="21" customFormat="false" ht="15" hidden="false" customHeight="false" outlineLevel="0" collapsed="false">
      <c r="A21" s="1" t="s">
        <v>46</v>
      </c>
      <c r="B21" s="7" t="n">
        <v>135</v>
      </c>
      <c r="C21" s="8" t="n">
        <v>0.77</v>
      </c>
      <c r="D21" s="7" t="n">
        <v>175</v>
      </c>
      <c r="E21" s="7" t="n">
        <v>115</v>
      </c>
      <c r="F21" s="8" t="n">
        <v>0.608</v>
      </c>
      <c r="G21" s="7" t="n">
        <v>185</v>
      </c>
      <c r="H21" s="7" t="n">
        <v>100</v>
      </c>
      <c r="I21" s="8" t="n">
        <v>0.759</v>
      </c>
      <c r="J21" s="7" t="n">
        <v>135</v>
      </c>
      <c r="K21" s="7" t="n">
        <v>120</v>
      </c>
      <c r="L21" s="8" t="n">
        <v>0.818</v>
      </c>
      <c r="M21" s="7" t="n">
        <v>150</v>
      </c>
      <c r="N21" s="7" t="n">
        <v>95</v>
      </c>
      <c r="O21" s="8" t="n">
        <v>0.693</v>
      </c>
      <c r="P21" s="7" t="n">
        <v>140</v>
      </c>
      <c r="Q21" s="7" t="n">
        <v>150</v>
      </c>
      <c r="R21" s="8" t="n">
        <v>0.955</v>
      </c>
      <c r="S21" s="7" t="n">
        <v>155</v>
      </c>
    </row>
    <row r="22" customFormat="false" ht="15" hidden="false" customHeight="false" outlineLevel="0" collapsed="false">
      <c r="A22" s="1" t="s">
        <v>47</v>
      </c>
      <c r="B22" s="7" t="n">
        <v>15</v>
      </c>
      <c r="C22" s="8" t="n">
        <v>0.381</v>
      </c>
      <c r="D22" s="7" t="n">
        <v>40</v>
      </c>
      <c r="E22" s="7" t="n">
        <v>15</v>
      </c>
      <c r="F22" s="8" t="n">
        <v>0.765</v>
      </c>
      <c r="G22" s="7" t="n">
        <v>15</v>
      </c>
      <c r="H22" s="7" t="n">
        <v>10</v>
      </c>
      <c r="I22" s="8" t="n">
        <v>0.345</v>
      </c>
      <c r="J22" s="7" t="n">
        <v>30</v>
      </c>
      <c r="K22" s="7" t="n">
        <v>35</v>
      </c>
      <c r="L22" s="8" t="n">
        <v>0.623</v>
      </c>
      <c r="M22" s="7" t="n">
        <v>55</v>
      </c>
      <c r="N22" s="7" t="n">
        <v>35</v>
      </c>
      <c r="O22" s="8" t="n">
        <v>0.925</v>
      </c>
      <c r="P22" s="7" t="n">
        <v>40</v>
      </c>
      <c r="Q22" s="7" t="n">
        <v>30</v>
      </c>
      <c r="R22" s="8" t="n">
        <v>0.721</v>
      </c>
      <c r="S22" s="7" t="n">
        <v>45</v>
      </c>
    </row>
    <row r="23" customFormat="false" ht="15" hidden="false" customHeight="false" outlineLevel="0" collapsed="false">
      <c r="A23" s="9" t="s">
        <v>48</v>
      </c>
      <c r="B23" s="10" t="n">
        <v>2180</v>
      </c>
      <c r="C23" s="11" t="n">
        <v>0.75</v>
      </c>
      <c r="D23" s="10" t="n">
        <v>2905</v>
      </c>
      <c r="E23" s="10" t="n">
        <v>2095</v>
      </c>
      <c r="F23" s="11" t="n">
        <v>0.692</v>
      </c>
      <c r="G23" s="10" t="n">
        <v>3030</v>
      </c>
      <c r="H23" s="10" t="n">
        <v>1700</v>
      </c>
      <c r="I23" s="11" t="n">
        <v>0.725</v>
      </c>
      <c r="J23" s="10" t="n">
        <v>2345</v>
      </c>
      <c r="K23" s="10" t="n">
        <v>1505</v>
      </c>
      <c r="L23" s="11" t="n">
        <v>0.689</v>
      </c>
      <c r="M23" s="10" t="n">
        <v>2185</v>
      </c>
      <c r="N23" s="10" t="n">
        <v>1520</v>
      </c>
      <c r="O23" s="11" t="n">
        <v>0.755</v>
      </c>
      <c r="P23" s="10" t="n">
        <v>2010</v>
      </c>
      <c r="Q23" s="10" t="n">
        <v>1595</v>
      </c>
      <c r="R23" s="11" t="n">
        <v>0.771</v>
      </c>
      <c r="S23" s="10" t="n">
        <v>2070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45 A1"/>
    </sheetView>
  </sheetViews>
  <sheetFormatPr defaultColWidth="11.078125" defaultRowHeight="15" zeroHeight="false" outlineLevelRow="0" outlineLevelCol="0"/>
  <cols>
    <col collapsed="false" customWidth="true" hidden="false" outlineLevel="0" max="1" min="1" style="1" width="43.69"/>
    <col collapsed="false" customWidth="true" hidden="false" outlineLevel="0" max="2" min="2" style="1" width="19.69"/>
    <col collapsed="false" customWidth="true" hidden="false" outlineLevel="0" max="3" min="3" style="1" width="24.69"/>
    <col collapsed="false" customWidth="true" hidden="false" outlineLevel="0" max="4" min="4" style="1" width="13.69"/>
    <col collapsed="false" customWidth="true" hidden="false" outlineLevel="0" max="5" min="5" style="1" width="19.69"/>
    <col collapsed="false" customWidth="true" hidden="false" outlineLevel="0" max="6" min="6" style="1" width="24.69"/>
    <col collapsed="false" customWidth="true" hidden="false" outlineLevel="0" max="7" min="7" style="1" width="13.69"/>
    <col collapsed="false" customWidth="true" hidden="false" outlineLevel="0" max="8" min="8" style="1" width="19.69"/>
    <col collapsed="false" customWidth="true" hidden="false" outlineLevel="0" max="9" min="9" style="1" width="24.69"/>
    <col collapsed="false" customWidth="true" hidden="false" outlineLevel="0" max="10" min="10" style="1" width="13.69"/>
    <col collapsed="false" customWidth="true" hidden="false" outlineLevel="0" max="11" min="11" style="1" width="19.69"/>
    <col collapsed="false" customWidth="true" hidden="false" outlineLevel="0" max="12" min="12" style="1" width="24.69"/>
    <col collapsed="false" customWidth="true" hidden="false" outlineLevel="0" max="13" min="13" style="1" width="13.69"/>
    <col collapsed="false" customWidth="true" hidden="false" outlineLevel="0" max="14" min="14" style="1" width="19.69"/>
    <col collapsed="false" customWidth="true" hidden="false" outlineLevel="0" max="15" min="15" style="1" width="24.69"/>
    <col collapsed="false" customWidth="true" hidden="false" outlineLevel="0" max="16" min="16" style="1" width="13.69"/>
    <col collapsed="false" customWidth="true" hidden="false" outlineLevel="0" max="17" min="17" style="1" width="19.69"/>
    <col collapsed="false" customWidth="true" hidden="false" outlineLevel="0" max="18" min="18" style="1" width="24.69"/>
    <col collapsed="false" customWidth="true" hidden="false" outlineLevel="0" max="19" min="19" style="1" width="13.69"/>
  </cols>
  <sheetData>
    <row r="1" customFormat="false" ht="30" hidden="false" customHeight="true" outlineLevel="0" collapsed="false">
      <c r="A1" s="2" t="s">
        <v>49</v>
      </c>
    </row>
    <row r="2" customFormat="false" ht="15" hidden="false" customHeight="false" outlineLevel="0" collapsed="false">
      <c r="A2" s="1" t="s">
        <v>7</v>
      </c>
    </row>
    <row r="3" customFormat="false" ht="15" hidden="false" customHeight="false" outlineLevel="0" collapsed="false">
      <c r="A3" s="1" t="s">
        <v>8</v>
      </c>
    </row>
    <row r="4" customFormat="false" ht="15" hidden="false" customHeight="false" outlineLevel="0" collapsed="false">
      <c r="A4" s="6" t="s">
        <v>9</v>
      </c>
      <c r="B4" s="6" t="s">
        <v>10</v>
      </c>
      <c r="C4" s="6" t="s">
        <v>11</v>
      </c>
      <c r="D4" s="6" t="s">
        <v>12</v>
      </c>
      <c r="E4" s="6" t="s">
        <v>13</v>
      </c>
      <c r="F4" s="6" t="s">
        <v>14</v>
      </c>
      <c r="G4" s="6" t="s">
        <v>15</v>
      </c>
      <c r="H4" s="6" t="s">
        <v>16</v>
      </c>
      <c r="I4" s="6" t="s">
        <v>17</v>
      </c>
      <c r="J4" s="6" t="s">
        <v>18</v>
      </c>
      <c r="K4" s="6" t="s">
        <v>19</v>
      </c>
      <c r="L4" s="6" t="s">
        <v>20</v>
      </c>
      <c r="M4" s="6" t="s">
        <v>21</v>
      </c>
      <c r="N4" s="6" t="s">
        <v>22</v>
      </c>
      <c r="O4" s="6" t="s">
        <v>23</v>
      </c>
      <c r="P4" s="6" t="s">
        <v>24</v>
      </c>
      <c r="Q4" s="6" t="s">
        <v>25</v>
      </c>
      <c r="R4" s="6" t="s">
        <v>26</v>
      </c>
      <c r="S4" s="6" t="s">
        <v>27</v>
      </c>
    </row>
    <row r="5" customFormat="false" ht="15" hidden="false" customHeight="false" outlineLevel="0" collapsed="false">
      <c r="A5" s="1" t="s">
        <v>50</v>
      </c>
      <c r="B5" s="7" t="n">
        <v>730</v>
      </c>
      <c r="C5" s="8" t="n">
        <v>0.914</v>
      </c>
      <c r="D5" s="7" t="n">
        <v>800</v>
      </c>
      <c r="E5" s="7" t="n">
        <v>610</v>
      </c>
      <c r="F5" s="8" t="n">
        <v>0.862</v>
      </c>
      <c r="G5" s="7" t="n">
        <v>710</v>
      </c>
      <c r="H5" s="7" t="n">
        <v>500</v>
      </c>
      <c r="I5" s="8" t="n">
        <v>0.835</v>
      </c>
      <c r="J5" s="7" t="n">
        <v>600</v>
      </c>
      <c r="K5" s="7" t="n">
        <v>620</v>
      </c>
      <c r="L5" s="8" t="n">
        <v>0.885</v>
      </c>
      <c r="M5" s="7" t="n">
        <v>705</v>
      </c>
      <c r="N5" s="7" t="n">
        <v>625</v>
      </c>
      <c r="O5" s="8" t="n">
        <v>0.948</v>
      </c>
      <c r="P5" s="7" t="n">
        <v>660</v>
      </c>
      <c r="Q5" s="7" t="n">
        <v>485</v>
      </c>
      <c r="R5" s="8" t="n">
        <v>0.896</v>
      </c>
      <c r="S5" s="7" t="n">
        <v>540</v>
      </c>
    </row>
    <row r="6" customFormat="false" ht="15" hidden="false" customHeight="false" outlineLevel="0" collapsed="false">
      <c r="A6" s="1" t="s">
        <v>51</v>
      </c>
      <c r="B6" s="7" t="n">
        <v>7690</v>
      </c>
      <c r="C6" s="8" t="n">
        <v>0.892</v>
      </c>
      <c r="D6" s="7" t="n">
        <v>8620</v>
      </c>
      <c r="E6" s="7" t="n">
        <v>5930</v>
      </c>
      <c r="F6" s="8" t="n">
        <v>0.876</v>
      </c>
      <c r="G6" s="7" t="n">
        <v>6775</v>
      </c>
      <c r="H6" s="7" t="n">
        <v>5835</v>
      </c>
      <c r="I6" s="8" t="n">
        <v>0.885</v>
      </c>
      <c r="J6" s="7" t="n">
        <v>6590</v>
      </c>
      <c r="K6" s="7" t="n">
        <v>6005</v>
      </c>
      <c r="L6" s="8" t="n">
        <v>0.863</v>
      </c>
      <c r="M6" s="7" t="n">
        <v>6960</v>
      </c>
      <c r="N6" s="7" t="n">
        <v>6425</v>
      </c>
      <c r="O6" s="8" t="n">
        <v>0.931</v>
      </c>
      <c r="P6" s="7" t="n">
        <v>6900</v>
      </c>
      <c r="Q6" s="7" t="n">
        <v>5755</v>
      </c>
      <c r="R6" s="8" t="n">
        <v>0.903</v>
      </c>
      <c r="S6" s="7" t="n">
        <v>6375</v>
      </c>
    </row>
    <row r="7" customFormat="false" ht="15" hidden="false" customHeight="false" outlineLevel="0" collapsed="false">
      <c r="A7" s="1" t="s">
        <v>52</v>
      </c>
      <c r="B7" s="7" t="n">
        <v>550</v>
      </c>
      <c r="C7" s="8" t="n">
        <v>0.758</v>
      </c>
      <c r="D7" s="7" t="n">
        <v>730</v>
      </c>
      <c r="E7" s="7" t="n">
        <v>495</v>
      </c>
      <c r="F7" s="8" t="n">
        <v>0.781</v>
      </c>
      <c r="G7" s="7" t="n">
        <v>630</v>
      </c>
      <c r="H7" s="7" t="n">
        <v>440</v>
      </c>
      <c r="I7" s="8" t="n">
        <v>0.801</v>
      </c>
      <c r="J7" s="7" t="n">
        <v>545</v>
      </c>
      <c r="K7" s="7" t="n">
        <v>510</v>
      </c>
      <c r="L7" s="8" t="n">
        <v>0.839</v>
      </c>
      <c r="M7" s="7" t="n">
        <v>605</v>
      </c>
      <c r="N7" s="7" t="n">
        <v>590</v>
      </c>
      <c r="O7" s="8" t="n">
        <v>0.826</v>
      </c>
      <c r="P7" s="7" t="n">
        <v>715</v>
      </c>
      <c r="Q7" s="7" t="n">
        <v>500</v>
      </c>
      <c r="R7" s="8" t="n">
        <v>0.773</v>
      </c>
      <c r="S7" s="7" t="n">
        <v>650</v>
      </c>
    </row>
    <row r="8" customFormat="false" ht="15" hidden="false" customHeight="false" outlineLevel="0" collapsed="false">
      <c r="A8" s="1" t="s">
        <v>53</v>
      </c>
      <c r="B8" s="7" t="n">
        <v>720</v>
      </c>
      <c r="C8" s="8" t="n">
        <v>0.831</v>
      </c>
      <c r="D8" s="7" t="n">
        <v>870</v>
      </c>
      <c r="E8" s="7" t="n">
        <v>625</v>
      </c>
      <c r="F8" s="8" t="n">
        <v>0.882</v>
      </c>
      <c r="G8" s="7" t="n">
        <v>710</v>
      </c>
      <c r="H8" s="7" t="n">
        <v>550</v>
      </c>
      <c r="I8" s="8" t="n">
        <v>0.823</v>
      </c>
      <c r="J8" s="7" t="n">
        <v>670</v>
      </c>
      <c r="K8" s="7" t="n">
        <v>440</v>
      </c>
      <c r="L8" s="8" t="n">
        <v>0.794</v>
      </c>
      <c r="M8" s="7" t="n">
        <v>555</v>
      </c>
      <c r="N8" s="7" t="n">
        <v>570</v>
      </c>
      <c r="O8" s="8" t="n">
        <v>0.93</v>
      </c>
      <c r="P8" s="7" t="n">
        <v>615</v>
      </c>
      <c r="Q8" s="7" t="n">
        <v>485</v>
      </c>
      <c r="R8" s="8" t="n">
        <v>0.885</v>
      </c>
      <c r="S8" s="7" t="n">
        <v>545</v>
      </c>
    </row>
    <row r="9" customFormat="false" ht="15" hidden="false" customHeight="false" outlineLevel="0" collapsed="false">
      <c r="A9" s="1" t="s">
        <v>54</v>
      </c>
      <c r="B9" s="7" t="n">
        <v>435</v>
      </c>
      <c r="C9" s="8" t="n">
        <v>0.9</v>
      </c>
      <c r="D9" s="7" t="n">
        <v>480</v>
      </c>
      <c r="E9" s="7" t="n">
        <v>250</v>
      </c>
      <c r="F9" s="8" t="n">
        <v>0.842</v>
      </c>
      <c r="G9" s="7" t="n">
        <v>295</v>
      </c>
      <c r="H9" s="7" t="n">
        <v>255</v>
      </c>
      <c r="I9" s="8" t="n">
        <v>0.879</v>
      </c>
      <c r="J9" s="7" t="n">
        <v>290</v>
      </c>
      <c r="K9" s="7" t="n">
        <v>340</v>
      </c>
      <c r="L9" s="8" t="n">
        <v>0.906</v>
      </c>
      <c r="M9" s="7" t="n">
        <v>375</v>
      </c>
      <c r="N9" s="7" t="n">
        <v>355</v>
      </c>
      <c r="O9" s="8" t="n">
        <v>0.908</v>
      </c>
      <c r="P9" s="7" t="n">
        <v>390</v>
      </c>
      <c r="Q9" s="7" t="n">
        <v>250</v>
      </c>
      <c r="R9" s="8" t="n">
        <v>0.919</v>
      </c>
      <c r="S9" s="7" t="n">
        <v>270</v>
      </c>
    </row>
    <row r="10" customFormat="false" ht="15" hidden="false" customHeight="false" outlineLevel="0" collapsed="false">
      <c r="A10" s="1" t="s">
        <v>55</v>
      </c>
      <c r="B10" s="7" t="n">
        <v>425</v>
      </c>
      <c r="C10" s="8" t="n">
        <v>0.789</v>
      </c>
      <c r="D10" s="7" t="n">
        <v>540</v>
      </c>
      <c r="E10" s="7" t="n">
        <v>390</v>
      </c>
      <c r="F10" s="8" t="n">
        <v>0.884</v>
      </c>
      <c r="G10" s="7" t="n">
        <v>440</v>
      </c>
      <c r="H10" s="7" t="n">
        <v>335</v>
      </c>
      <c r="I10" s="8" t="n">
        <v>0.827</v>
      </c>
      <c r="J10" s="7" t="n">
        <v>405</v>
      </c>
      <c r="K10" s="7" t="n">
        <v>400</v>
      </c>
      <c r="L10" s="8" t="n">
        <v>0.861</v>
      </c>
      <c r="M10" s="7" t="n">
        <v>465</v>
      </c>
      <c r="N10" s="7" t="n">
        <v>480</v>
      </c>
      <c r="O10" s="8" t="n">
        <v>0.928</v>
      </c>
      <c r="P10" s="7" t="n">
        <v>515</v>
      </c>
      <c r="Q10" s="7" t="n">
        <v>315</v>
      </c>
      <c r="R10" s="8" t="n">
        <v>0.89</v>
      </c>
      <c r="S10" s="7" t="n">
        <v>355</v>
      </c>
    </row>
    <row r="11" customFormat="false" ht="15" hidden="false" customHeight="false" outlineLevel="0" collapsed="false">
      <c r="A11" s="1" t="s">
        <v>56</v>
      </c>
      <c r="B11" s="7" t="n">
        <v>45</v>
      </c>
      <c r="C11" s="8" t="n">
        <v>0.691</v>
      </c>
      <c r="D11" s="7" t="n">
        <v>70</v>
      </c>
      <c r="E11" s="7" t="n">
        <v>25</v>
      </c>
      <c r="F11" s="8" t="n">
        <v>0.742</v>
      </c>
      <c r="G11" s="7" t="n">
        <v>30</v>
      </c>
      <c r="H11" s="7" t="n">
        <v>60</v>
      </c>
      <c r="I11" s="8" t="n">
        <v>0.881</v>
      </c>
      <c r="J11" s="7" t="n">
        <v>65</v>
      </c>
      <c r="K11" s="7" t="n">
        <v>35</v>
      </c>
      <c r="L11" s="8" t="n">
        <v>0.771</v>
      </c>
      <c r="M11" s="7" t="n">
        <v>50</v>
      </c>
      <c r="N11" s="7" t="n">
        <v>20</v>
      </c>
      <c r="O11" s="8" t="n">
        <v>0.957</v>
      </c>
      <c r="P11" s="7" t="n">
        <v>25</v>
      </c>
      <c r="Q11" s="7" t="n">
        <v>25</v>
      </c>
      <c r="R11" s="8" t="n">
        <v>0.844</v>
      </c>
      <c r="S11" s="7" t="n">
        <v>30</v>
      </c>
    </row>
    <row r="12" customFormat="false" ht="15" hidden="false" customHeight="false" outlineLevel="0" collapsed="false">
      <c r="A12" s="1" t="s">
        <v>57</v>
      </c>
      <c r="B12" s="7" t="n">
        <v>300</v>
      </c>
      <c r="C12" s="8" t="n">
        <v>0.867</v>
      </c>
      <c r="D12" s="7" t="n">
        <v>345</v>
      </c>
      <c r="E12" s="7" t="n">
        <v>240</v>
      </c>
      <c r="F12" s="8" t="n">
        <v>0.837</v>
      </c>
      <c r="G12" s="7" t="n">
        <v>290</v>
      </c>
      <c r="H12" s="7" t="n">
        <v>380</v>
      </c>
      <c r="I12" s="8" t="n">
        <v>0.778</v>
      </c>
      <c r="J12" s="7" t="n">
        <v>490</v>
      </c>
      <c r="K12" s="7" t="n">
        <v>330</v>
      </c>
      <c r="L12" s="8" t="n">
        <v>0.847</v>
      </c>
      <c r="M12" s="7" t="n">
        <v>390</v>
      </c>
      <c r="N12" s="7" t="n">
        <v>585</v>
      </c>
      <c r="O12" s="8" t="n">
        <v>0.942</v>
      </c>
      <c r="P12" s="7" t="n">
        <v>620</v>
      </c>
      <c r="Q12" s="7" t="n">
        <v>330</v>
      </c>
      <c r="R12" s="8" t="n">
        <v>0.916</v>
      </c>
      <c r="S12" s="7" t="n">
        <v>360</v>
      </c>
    </row>
    <row r="13" customFormat="false" ht="15" hidden="false" customHeight="false" outlineLevel="0" collapsed="false">
      <c r="A13" s="1" t="s">
        <v>58</v>
      </c>
      <c r="B13" s="7" t="n">
        <v>135</v>
      </c>
      <c r="C13" s="8" t="n">
        <v>0.711</v>
      </c>
      <c r="D13" s="7" t="n">
        <v>185</v>
      </c>
      <c r="E13" s="7" t="n">
        <v>60</v>
      </c>
      <c r="F13" s="8" t="n">
        <v>0.75</v>
      </c>
      <c r="G13" s="7" t="n">
        <v>80</v>
      </c>
      <c r="H13" s="7" t="n">
        <v>70</v>
      </c>
      <c r="I13" s="8" t="n">
        <v>0.789</v>
      </c>
      <c r="J13" s="7" t="n">
        <v>90</v>
      </c>
      <c r="K13" s="7" t="n">
        <v>90</v>
      </c>
      <c r="L13" s="8" t="n">
        <v>0.824</v>
      </c>
      <c r="M13" s="7" t="n">
        <v>110</v>
      </c>
      <c r="N13" s="7" t="n">
        <v>90</v>
      </c>
      <c r="O13" s="8" t="n">
        <v>0.868</v>
      </c>
      <c r="P13" s="7" t="n">
        <v>105</v>
      </c>
      <c r="Q13" s="7" t="n">
        <v>120</v>
      </c>
      <c r="R13" s="8" t="n">
        <v>0.833</v>
      </c>
      <c r="S13" s="7" t="n">
        <v>145</v>
      </c>
    </row>
    <row r="14" customFormat="false" ht="15" hidden="false" customHeight="false" outlineLevel="0" collapsed="false">
      <c r="A14" s="1" t="s">
        <v>59</v>
      </c>
      <c r="B14" s="7" t="n">
        <v>235</v>
      </c>
      <c r="C14" s="8" t="n">
        <v>0.833</v>
      </c>
      <c r="D14" s="7" t="n">
        <v>280</v>
      </c>
      <c r="E14" s="7" t="n">
        <v>125</v>
      </c>
      <c r="F14" s="8" t="n">
        <v>0.726</v>
      </c>
      <c r="G14" s="7" t="n">
        <v>175</v>
      </c>
      <c r="H14" s="7" t="n">
        <v>125</v>
      </c>
      <c r="I14" s="8" t="n">
        <v>0.784</v>
      </c>
      <c r="J14" s="7" t="n">
        <v>160</v>
      </c>
      <c r="K14" s="7" t="n">
        <v>130</v>
      </c>
      <c r="L14" s="8" t="n">
        <v>0.763</v>
      </c>
      <c r="M14" s="7" t="n">
        <v>170</v>
      </c>
      <c r="N14" s="7" t="n">
        <v>180</v>
      </c>
      <c r="O14" s="8" t="n">
        <v>0.854</v>
      </c>
      <c r="P14" s="7" t="n">
        <v>215</v>
      </c>
      <c r="Q14" s="7" t="n">
        <v>225</v>
      </c>
      <c r="R14" s="8" t="n">
        <v>0.882</v>
      </c>
      <c r="S14" s="7" t="n">
        <v>255</v>
      </c>
    </row>
    <row r="15" customFormat="false" ht="15" hidden="false" customHeight="false" outlineLevel="0" collapsed="false">
      <c r="A15" s="1" t="s">
        <v>60</v>
      </c>
      <c r="B15" s="7" t="n">
        <v>2915</v>
      </c>
      <c r="C15" s="8" t="n">
        <v>0.88</v>
      </c>
      <c r="D15" s="7" t="n">
        <v>3310</v>
      </c>
      <c r="E15" s="7" t="n">
        <v>1865</v>
      </c>
      <c r="F15" s="8" t="n">
        <v>0.88</v>
      </c>
      <c r="G15" s="7" t="n">
        <v>2115</v>
      </c>
      <c r="H15" s="7" t="n">
        <v>1735</v>
      </c>
      <c r="I15" s="8" t="n">
        <v>0.844</v>
      </c>
      <c r="J15" s="7" t="n">
        <v>2055</v>
      </c>
      <c r="K15" s="7" t="n">
        <v>1790</v>
      </c>
      <c r="L15" s="8" t="n">
        <v>0.883</v>
      </c>
      <c r="M15" s="7" t="n">
        <v>2025</v>
      </c>
      <c r="N15" s="7" t="n">
        <v>1850</v>
      </c>
      <c r="O15" s="8" t="n">
        <v>0.908</v>
      </c>
      <c r="P15" s="7" t="n">
        <v>2035</v>
      </c>
      <c r="Q15" s="7" t="n">
        <v>1775</v>
      </c>
      <c r="R15" s="8" t="n">
        <v>0.882</v>
      </c>
      <c r="S15" s="7" t="n">
        <v>2010</v>
      </c>
    </row>
    <row r="16" customFormat="false" ht="15" hidden="false" customHeight="false" outlineLevel="0" collapsed="false">
      <c r="A16" s="1" t="s">
        <v>61</v>
      </c>
      <c r="B16" s="7" t="n">
        <v>345</v>
      </c>
      <c r="C16" s="8" t="n">
        <v>0.737</v>
      </c>
      <c r="D16" s="7" t="n">
        <v>470</v>
      </c>
      <c r="E16" s="7" t="n">
        <v>215</v>
      </c>
      <c r="F16" s="8" t="n">
        <v>0.525</v>
      </c>
      <c r="G16" s="7" t="n">
        <v>415</v>
      </c>
      <c r="H16" s="7" t="n">
        <v>285</v>
      </c>
      <c r="I16" s="8" t="n">
        <v>0.854</v>
      </c>
      <c r="J16" s="7" t="n">
        <v>335</v>
      </c>
      <c r="K16" s="7" t="n">
        <v>275</v>
      </c>
      <c r="L16" s="8" t="n">
        <v>0.942</v>
      </c>
      <c r="M16" s="7" t="n">
        <v>290</v>
      </c>
      <c r="N16" s="7" t="n">
        <v>430</v>
      </c>
      <c r="O16" s="8" t="n">
        <v>0.96</v>
      </c>
      <c r="P16" s="7" t="n">
        <v>450</v>
      </c>
      <c r="Q16" s="7" t="n">
        <v>310</v>
      </c>
      <c r="R16" s="8" t="n">
        <v>0.975</v>
      </c>
      <c r="S16" s="7" t="n">
        <v>320</v>
      </c>
    </row>
    <row r="17" customFormat="false" ht="15" hidden="false" customHeight="false" outlineLevel="0" collapsed="false">
      <c r="A17" s="1" t="s">
        <v>62</v>
      </c>
      <c r="B17" s="7" t="n">
        <v>65</v>
      </c>
      <c r="C17" s="8" t="n">
        <v>0.855</v>
      </c>
      <c r="D17" s="7" t="n">
        <v>75</v>
      </c>
      <c r="E17" s="7" t="n">
        <v>60</v>
      </c>
      <c r="F17" s="8" t="n">
        <v>0.741</v>
      </c>
      <c r="G17" s="7" t="n">
        <v>80</v>
      </c>
      <c r="H17" s="7" t="n">
        <v>65</v>
      </c>
      <c r="I17" s="8" t="n">
        <v>0.903</v>
      </c>
      <c r="J17" s="7" t="n">
        <v>70</v>
      </c>
      <c r="K17" s="7" t="n">
        <v>125</v>
      </c>
      <c r="L17" s="8" t="n">
        <v>0.849</v>
      </c>
      <c r="M17" s="7" t="n">
        <v>145</v>
      </c>
      <c r="N17" s="7" t="n">
        <v>100</v>
      </c>
      <c r="O17" s="8" t="n">
        <v>0.951</v>
      </c>
      <c r="P17" s="7" t="n">
        <v>105</v>
      </c>
      <c r="Q17" s="7" t="n">
        <v>165</v>
      </c>
      <c r="R17" s="8" t="n">
        <v>0.893</v>
      </c>
      <c r="S17" s="7" t="n">
        <v>185</v>
      </c>
    </row>
    <row r="18" customFormat="false" ht="15" hidden="false" customHeight="false" outlineLevel="0" collapsed="false">
      <c r="A18" s="1" t="s">
        <v>63</v>
      </c>
      <c r="B18" s="7" t="n">
        <v>25</v>
      </c>
      <c r="C18" s="8" t="n">
        <v>0.641</v>
      </c>
      <c r="D18" s="7" t="n">
        <v>40</v>
      </c>
      <c r="E18" s="7" t="n">
        <v>40</v>
      </c>
      <c r="F18" s="8" t="n">
        <v>0.736</v>
      </c>
      <c r="G18" s="7" t="n">
        <v>55</v>
      </c>
      <c r="H18" s="7" t="n">
        <v>20</v>
      </c>
      <c r="I18" s="8" t="n">
        <v>0.792</v>
      </c>
      <c r="J18" s="7" t="n">
        <v>25</v>
      </c>
      <c r="K18" s="7" t="n">
        <v>25</v>
      </c>
      <c r="L18" s="8" t="n">
        <v>0.893</v>
      </c>
      <c r="M18" s="7" t="n">
        <v>30</v>
      </c>
      <c r="N18" s="7" t="n">
        <v>25</v>
      </c>
      <c r="O18" s="8" t="n">
        <v>0.821</v>
      </c>
      <c r="P18" s="7" t="n">
        <v>30</v>
      </c>
      <c r="Q18" s="7" t="n">
        <v>5</v>
      </c>
      <c r="R18" s="8" t="n">
        <v>0.625</v>
      </c>
      <c r="S18" s="7" t="n">
        <v>10</v>
      </c>
    </row>
    <row r="19" customFormat="false" ht="15" hidden="false" customHeight="false" outlineLevel="0" collapsed="false">
      <c r="A19" s="1" t="s">
        <v>32</v>
      </c>
      <c r="B19" s="7" t="n">
        <v>390</v>
      </c>
      <c r="C19" s="8" t="n">
        <v>0.884</v>
      </c>
      <c r="D19" s="7" t="n">
        <v>440</v>
      </c>
      <c r="E19" s="7" t="n">
        <v>395</v>
      </c>
      <c r="F19" s="8" t="n">
        <v>0.898</v>
      </c>
      <c r="G19" s="7" t="n">
        <v>440</v>
      </c>
      <c r="H19" s="7" t="n">
        <v>195</v>
      </c>
      <c r="I19" s="8" t="n">
        <v>0.66</v>
      </c>
      <c r="J19" s="7" t="n">
        <v>295</v>
      </c>
      <c r="K19" s="7" t="n">
        <v>355</v>
      </c>
      <c r="L19" s="8" t="n">
        <v>0.862</v>
      </c>
      <c r="M19" s="7" t="n">
        <v>415</v>
      </c>
      <c r="N19" s="7" t="n">
        <v>480</v>
      </c>
      <c r="O19" s="8" t="n">
        <v>0.966</v>
      </c>
      <c r="P19" s="7" t="n">
        <v>495</v>
      </c>
      <c r="Q19" s="7" t="n">
        <v>370</v>
      </c>
      <c r="R19" s="8" t="n">
        <v>0.91</v>
      </c>
      <c r="S19" s="7" t="n">
        <v>410</v>
      </c>
    </row>
    <row r="20" customFormat="false" ht="15" hidden="false" customHeight="false" outlineLevel="0" collapsed="false">
      <c r="A20" s="1" t="s">
        <v>34</v>
      </c>
      <c r="B20" s="7" t="n">
        <v>30</v>
      </c>
      <c r="C20" s="8" t="n">
        <v>0.967</v>
      </c>
      <c r="D20" s="7" t="n">
        <v>30</v>
      </c>
      <c r="E20" s="7" t="n">
        <v>20</v>
      </c>
      <c r="F20" s="8" t="n">
        <v>0.905</v>
      </c>
      <c r="G20" s="7" t="n">
        <v>20</v>
      </c>
      <c r="H20" s="7" t="s">
        <v>33</v>
      </c>
      <c r="I20" s="8" t="s">
        <v>33</v>
      </c>
      <c r="J20" s="7" t="n">
        <v>10</v>
      </c>
      <c r="K20" s="7" t="s">
        <v>33</v>
      </c>
      <c r="L20" s="8" t="s">
        <v>33</v>
      </c>
      <c r="M20" s="7" t="s">
        <v>33</v>
      </c>
      <c r="N20" s="7" t="n">
        <v>20</v>
      </c>
      <c r="O20" s="8" t="n">
        <v>0.87</v>
      </c>
      <c r="P20" s="7" t="n">
        <v>25</v>
      </c>
      <c r="Q20" s="7" t="n">
        <v>50</v>
      </c>
      <c r="R20" s="8" t="n">
        <v>0.823</v>
      </c>
      <c r="S20" s="7" t="n">
        <v>60</v>
      </c>
    </row>
    <row r="21" customFormat="false" ht="15" hidden="false" customHeight="false" outlineLevel="0" collapsed="false">
      <c r="A21" s="1" t="s">
        <v>36</v>
      </c>
      <c r="B21" s="7" t="s">
        <v>33</v>
      </c>
      <c r="C21" s="8" t="s">
        <v>33</v>
      </c>
      <c r="D21" s="7" t="n">
        <v>5</v>
      </c>
      <c r="E21" s="7" t="s">
        <v>33</v>
      </c>
      <c r="F21" s="8" t="s">
        <v>33</v>
      </c>
      <c r="G21" s="7" t="s">
        <v>33</v>
      </c>
      <c r="H21" s="7" t="s">
        <v>33</v>
      </c>
      <c r="I21" s="8" t="s">
        <v>33</v>
      </c>
      <c r="J21" s="7" t="s">
        <v>33</v>
      </c>
      <c r="K21" s="7" t="s">
        <v>33</v>
      </c>
      <c r="L21" s="8" t="s">
        <v>33</v>
      </c>
      <c r="M21" s="7" t="s">
        <v>33</v>
      </c>
      <c r="N21" s="7" t="s">
        <v>35</v>
      </c>
      <c r="O21" s="8" t="s">
        <v>35</v>
      </c>
      <c r="P21" s="7" t="n">
        <v>0</v>
      </c>
      <c r="Q21" s="7" t="s">
        <v>35</v>
      </c>
      <c r="R21" s="8" t="s">
        <v>35</v>
      </c>
      <c r="S21" s="7" t="n">
        <v>0</v>
      </c>
    </row>
    <row r="22" customFormat="false" ht="15" hidden="false" customHeight="false" outlineLevel="0" collapsed="false">
      <c r="A22" s="1" t="s">
        <v>64</v>
      </c>
      <c r="B22" s="7" t="n">
        <v>895</v>
      </c>
      <c r="C22" s="8" t="n">
        <v>0.833</v>
      </c>
      <c r="D22" s="7" t="n">
        <v>1075</v>
      </c>
      <c r="E22" s="7" t="n">
        <v>740</v>
      </c>
      <c r="F22" s="8" t="n">
        <v>0.883</v>
      </c>
      <c r="G22" s="7" t="n">
        <v>840</v>
      </c>
      <c r="H22" s="7" t="n">
        <v>605</v>
      </c>
      <c r="I22" s="8" t="n">
        <v>0.858</v>
      </c>
      <c r="J22" s="7" t="n">
        <v>705</v>
      </c>
      <c r="K22" s="7" t="n">
        <v>695</v>
      </c>
      <c r="L22" s="8" t="n">
        <v>0.843</v>
      </c>
      <c r="M22" s="7" t="n">
        <v>825</v>
      </c>
      <c r="N22" s="7" t="n">
        <v>655</v>
      </c>
      <c r="O22" s="8" t="n">
        <v>0.926</v>
      </c>
      <c r="P22" s="7" t="n">
        <v>705</v>
      </c>
      <c r="Q22" s="7" t="n">
        <v>535</v>
      </c>
      <c r="R22" s="8" t="n">
        <v>0.888</v>
      </c>
      <c r="S22" s="7" t="n">
        <v>600</v>
      </c>
    </row>
    <row r="23" customFormat="false" ht="15" hidden="false" customHeight="false" outlineLevel="0" collapsed="false">
      <c r="A23" s="1" t="s">
        <v>37</v>
      </c>
      <c r="B23" s="7" t="n">
        <v>155</v>
      </c>
      <c r="C23" s="8" t="n">
        <v>0.945</v>
      </c>
      <c r="D23" s="7" t="n">
        <v>165</v>
      </c>
      <c r="E23" s="7" t="n">
        <v>105</v>
      </c>
      <c r="F23" s="8" t="n">
        <v>0.905</v>
      </c>
      <c r="G23" s="7" t="n">
        <v>115</v>
      </c>
      <c r="H23" s="7" t="n">
        <v>110</v>
      </c>
      <c r="I23" s="8" t="n">
        <v>0.957</v>
      </c>
      <c r="J23" s="7" t="n">
        <v>115</v>
      </c>
      <c r="K23" s="7" t="n">
        <v>130</v>
      </c>
      <c r="L23" s="8" t="n">
        <v>0.985</v>
      </c>
      <c r="M23" s="7" t="n">
        <v>130</v>
      </c>
      <c r="N23" s="7" t="n">
        <v>160</v>
      </c>
      <c r="O23" s="8" t="n">
        <v>0.994</v>
      </c>
      <c r="P23" s="7" t="n">
        <v>160</v>
      </c>
      <c r="Q23" s="7" t="n">
        <v>130</v>
      </c>
      <c r="R23" s="8" t="n">
        <v>0.917</v>
      </c>
      <c r="S23" s="7" t="n">
        <v>145</v>
      </c>
    </row>
    <row r="24" customFormat="false" ht="15" hidden="false" customHeight="false" outlineLevel="0" collapsed="false">
      <c r="A24" s="1" t="s">
        <v>65</v>
      </c>
      <c r="B24" s="7" t="n">
        <v>65</v>
      </c>
      <c r="C24" s="8" t="n">
        <v>0.52</v>
      </c>
      <c r="D24" s="7" t="n">
        <v>125</v>
      </c>
      <c r="E24" s="7" t="n">
        <v>85</v>
      </c>
      <c r="F24" s="8" t="n">
        <v>0.7</v>
      </c>
      <c r="G24" s="7" t="n">
        <v>120</v>
      </c>
      <c r="H24" s="7" t="n">
        <v>65</v>
      </c>
      <c r="I24" s="8" t="n">
        <v>0.8</v>
      </c>
      <c r="J24" s="7" t="n">
        <v>80</v>
      </c>
      <c r="K24" s="7" t="n">
        <v>75</v>
      </c>
      <c r="L24" s="8" t="n">
        <v>0.851</v>
      </c>
      <c r="M24" s="7" t="n">
        <v>85</v>
      </c>
      <c r="N24" s="7" t="n">
        <v>35</v>
      </c>
      <c r="O24" s="8" t="n">
        <v>0.854</v>
      </c>
      <c r="P24" s="7" t="n">
        <v>40</v>
      </c>
      <c r="Q24" s="7" t="n">
        <v>35</v>
      </c>
      <c r="R24" s="8" t="n">
        <v>0.63</v>
      </c>
      <c r="S24" s="7" t="n">
        <v>55</v>
      </c>
    </row>
    <row r="25" customFormat="false" ht="15" hidden="false" customHeight="false" outlineLevel="0" collapsed="false">
      <c r="A25" s="1" t="s">
        <v>66</v>
      </c>
      <c r="B25" s="7" t="n">
        <v>1605</v>
      </c>
      <c r="C25" s="8" t="n">
        <v>0.841</v>
      </c>
      <c r="D25" s="7" t="n">
        <v>1905</v>
      </c>
      <c r="E25" s="7" t="n">
        <v>1225</v>
      </c>
      <c r="F25" s="8" t="n">
        <v>0.832</v>
      </c>
      <c r="G25" s="7" t="n">
        <v>1470</v>
      </c>
      <c r="H25" s="7" t="n">
        <v>1025</v>
      </c>
      <c r="I25" s="8" t="n">
        <v>0.858</v>
      </c>
      <c r="J25" s="7" t="n">
        <v>1190</v>
      </c>
      <c r="K25" s="7" t="n">
        <v>1030</v>
      </c>
      <c r="L25" s="8" t="n">
        <v>0.88</v>
      </c>
      <c r="M25" s="7" t="n">
        <v>1170</v>
      </c>
      <c r="N25" s="7" t="n">
        <v>970</v>
      </c>
      <c r="O25" s="8" t="n">
        <v>0.93</v>
      </c>
      <c r="P25" s="7" t="n">
        <v>1045</v>
      </c>
      <c r="Q25" s="7" t="n">
        <v>835</v>
      </c>
      <c r="R25" s="8" t="n">
        <v>0.89</v>
      </c>
      <c r="S25" s="7" t="n">
        <v>935</v>
      </c>
    </row>
    <row r="26" customFormat="false" ht="15" hidden="false" customHeight="false" outlineLevel="0" collapsed="false">
      <c r="A26" s="1" t="s">
        <v>39</v>
      </c>
      <c r="B26" s="7" t="n">
        <v>15</v>
      </c>
      <c r="C26" s="8" t="n">
        <v>0.762</v>
      </c>
      <c r="D26" s="7" t="n">
        <v>20</v>
      </c>
      <c r="E26" s="7" t="n">
        <v>35</v>
      </c>
      <c r="F26" s="8" t="n">
        <v>0.973</v>
      </c>
      <c r="G26" s="7" t="n">
        <v>35</v>
      </c>
      <c r="H26" s="7" t="n">
        <v>0</v>
      </c>
      <c r="I26" s="8" t="n">
        <v>0</v>
      </c>
      <c r="J26" s="7" t="n">
        <v>5</v>
      </c>
      <c r="K26" s="7" t="n">
        <v>25</v>
      </c>
      <c r="L26" s="8" t="n">
        <v>0.852</v>
      </c>
      <c r="M26" s="7" t="n">
        <v>25</v>
      </c>
      <c r="N26" s="7" t="n">
        <v>20</v>
      </c>
      <c r="O26" s="8" t="n">
        <v>0.905</v>
      </c>
      <c r="P26" s="7" t="n">
        <v>20</v>
      </c>
      <c r="Q26" s="7" t="n">
        <v>25</v>
      </c>
      <c r="R26" s="8" t="n">
        <v>0.96</v>
      </c>
      <c r="S26" s="7" t="n">
        <v>25</v>
      </c>
    </row>
    <row r="27" customFormat="false" ht="15" hidden="false" customHeight="false" outlineLevel="0" collapsed="false">
      <c r="A27" s="1" t="s">
        <v>67</v>
      </c>
      <c r="B27" s="7" t="n">
        <v>0</v>
      </c>
      <c r="C27" s="8" t="n">
        <v>0</v>
      </c>
      <c r="D27" s="7" t="s">
        <v>33</v>
      </c>
      <c r="E27" s="7" t="s">
        <v>35</v>
      </c>
      <c r="F27" s="8" t="s">
        <v>35</v>
      </c>
      <c r="G27" s="7" t="n">
        <v>0</v>
      </c>
      <c r="H27" s="7" t="s">
        <v>35</v>
      </c>
      <c r="I27" s="8" t="s">
        <v>35</v>
      </c>
      <c r="J27" s="7" t="n">
        <v>0</v>
      </c>
      <c r="K27" s="7" t="s">
        <v>33</v>
      </c>
      <c r="L27" s="8" t="s">
        <v>33</v>
      </c>
      <c r="M27" s="7" t="s">
        <v>33</v>
      </c>
      <c r="N27" s="7" t="s">
        <v>33</v>
      </c>
      <c r="O27" s="8" t="s">
        <v>33</v>
      </c>
      <c r="P27" s="7" t="s">
        <v>33</v>
      </c>
      <c r="Q27" s="7" t="s">
        <v>33</v>
      </c>
      <c r="R27" s="8" t="s">
        <v>33</v>
      </c>
      <c r="S27" s="7" t="s">
        <v>33</v>
      </c>
    </row>
    <row r="28" customFormat="false" ht="15" hidden="false" customHeight="false" outlineLevel="0" collapsed="false">
      <c r="A28" s="1" t="s">
        <v>68</v>
      </c>
      <c r="B28" s="7" t="n">
        <v>10</v>
      </c>
      <c r="C28" s="8" t="n">
        <v>0.857</v>
      </c>
      <c r="D28" s="7" t="n">
        <v>15</v>
      </c>
      <c r="E28" s="7" t="s">
        <v>33</v>
      </c>
      <c r="F28" s="8" t="s">
        <v>33</v>
      </c>
      <c r="G28" s="7" t="s">
        <v>33</v>
      </c>
      <c r="H28" s="7" t="n">
        <v>0</v>
      </c>
      <c r="I28" s="8" t="n">
        <v>0</v>
      </c>
      <c r="J28" s="7" t="s">
        <v>33</v>
      </c>
      <c r="K28" s="7" t="n">
        <v>5</v>
      </c>
      <c r="L28" s="8" t="n">
        <v>1</v>
      </c>
      <c r="M28" s="7" t="n">
        <v>5</v>
      </c>
      <c r="N28" s="7" t="n">
        <v>5</v>
      </c>
      <c r="O28" s="8" t="n">
        <v>0.875</v>
      </c>
      <c r="P28" s="7" t="n">
        <v>10</v>
      </c>
      <c r="Q28" s="7" t="n">
        <v>10</v>
      </c>
      <c r="R28" s="8" t="n">
        <v>1</v>
      </c>
      <c r="S28" s="7" t="n">
        <v>10</v>
      </c>
    </row>
    <row r="29" customFormat="false" ht="15" hidden="false" customHeight="false" outlineLevel="0" collapsed="false">
      <c r="A29" s="1" t="s">
        <v>69</v>
      </c>
      <c r="B29" s="7" t="n">
        <v>480</v>
      </c>
      <c r="C29" s="8" t="n">
        <v>0.831</v>
      </c>
      <c r="D29" s="7" t="n">
        <v>575</v>
      </c>
      <c r="E29" s="7" t="n">
        <v>355</v>
      </c>
      <c r="F29" s="8" t="n">
        <v>0.784</v>
      </c>
      <c r="G29" s="7" t="n">
        <v>455</v>
      </c>
      <c r="H29" s="7" t="n">
        <v>310</v>
      </c>
      <c r="I29" s="8" t="n">
        <v>0.815</v>
      </c>
      <c r="J29" s="7" t="n">
        <v>385</v>
      </c>
      <c r="K29" s="7" t="n">
        <v>300</v>
      </c>
      <c r="L29" s="8" t="n">
        <v>0.884</v>
      </c>
      <c r="M29" s="7" t="n">
        <v>335</v>
      </c>
      <c r="N29" s="7" t="n">
        <v>375</v>
      </c>
      <c r="O29" s="8" t="n">
        <v>0.887</v>
      </c>
      <c r="P29" s="7" t="n">
        <v>425</v>
      </c>
      <c r="Q29" s="7" t="n">
        <v>330</v>
      </c>
      <c r="R29" s="8" t="n">
        <v>0.891</v>
      </c>
      <c r="S29" s="7" t="n">
        <v>370</v>
      </c>
    </row>
    <row r="30" customFormat="false" ht="15" hidden="false" customHeight="false" outlineLevel="0" collapsed="false">
      <c r="A30" s="1" t="s">
        <v>70</v>
      </c>
      <c r="B30" s="7" t="n">
        <v>1705</v>
      </c>
      <c r="C30" s="8" t="n">
        <v>0.876</v>
      </c>
      <c r="D30" s="7" t="n">
        <v>1945</v>
      </c>
      <c r="E30" s="7" t="n">
        <v>1200</v>
      </c>
      <c r="F30" s="8" t="n">
        <v>0.854</v>
      </c>
      <c r="G30" s="7" t="n">
        <v>1405</v>
      </c>
      <c r="H30" s="7" t="n">
        <v>1165</v>
      </c>
      <c r="I30" s="8" t="n">
        <v>0.89</v>
      </c>
      <c r="J30" s="7" t="n">
        <v>1305</v>
      </c>
      <c r="K30" s="7" t="n">
        <v>1115</v>
      </c>
      <c r="L30" s="8" t="n">
        <v>0.924</v>
      </c>
      <c r="M30" s="7" t="n">
        <v>1210</v>
      </c>
      <c r="N30" s="7" t="n">
        <v>1150</v>
      </c>
      <c r="O30" s="8" t="n">
        <v>0.953</v>
      </c>
      <c r="P30" s="7" t="n">
        <v>1210</v>
      </c>
      <c r="Q30" s="7" t="n">
        <v>775</v>
      </c>
      <c r="R30" s="8" t="n">
        <v>0.908</v>
      </c>
      <c r="S30" s="7" t="n">
        <v>850</v>
      </c>
    </row>
    <row r="31" customFormat="false" ht="15" hidden="false" customHeight="false" outlineLevel="0" collapsed="false">
      <c r="A31" s="1" t="s">
        <v>71</v>
      </c>
      <c r="B31" s="7" t="n">
        <v>275</v>
      </c>
      <c r="C31" s="8" t="n">
        <v>0.747</v>
      </c>
      <c r="D31" s="7" t="n">
        <v>370</v>
      </c>
      <c r="E31" s="7" t="n">
        <v>215</v>
      </c>
      <c r="F31" s="8" t="n">
        <v>0.713</v>
      </c>
      <c r="G31" s="7" t="n">
        <v>300</v>
      </c>
      <c r="H31" s="7" t="n">
        <v>185</v>
      </c>
      <c r="I31" s="8" t="n">
        <v>0.73</v>
      </c>
      <c r="J31" s="7" t="n">
        <v>255</v>
      </c>
      <c r="K31" s="7" t="n">
        <v>195</v>
      </c>
      <c r="L31" s="8" t="n">
        <v>0.737</v>
      </c>
      <c r="M31" s="7" t="n">
        <v>265</v>
      </c>
      <c r="N31" s="7" t="n">
        <v>265</v>
      </c>
      <c r="O31" s="8" t="n">
        <v>0.807</v>
      </c>
      <c r="P31" s="7" t="n">
        <v>330</v>
      </c>
      <c r="Q31" s="7" t="n">
        <v>265</v>
      </c>
      <c r="R31" s="8" t="n">
        <v>0.705</v>
      </c>
      <c r="S31" s="7" t="n">
        <v>375</v>
      </c>
    </row>
    <row r="32" customFormat="false" ht="15" hidden="false" customHeight="false" outlineLevel="0" collapsed="false">
      <c r="A32" s="1" t="s">
        <v>72</v>
      </c>
      <c r="B32" s="7" t="n">
        <v>50</v>
      </c>
      <c r="C32" s="8" t="n">
        <v>0.69</v>
      </c>
      <c r="D32" s="7" t="n">
        <v>70</v>
      </c>
      <c r="E32" s="7" t="n">
        <v>50</v>
      </c>
      <c r="F32" s="8" t="n">
        <v>0.721</v>
      </c>
      <c r="G32" s="7" t="n">
        <v>70</v>
      </c>
      <c r="H32" s="7" t="n">
        <v>30</v>
      </c>
      <c r="I32" s="8" t="n">
        <v>0.636</v>
      </c>
      <c r="J32" s="7" t="n">
        <v>45</v>
      </c>
      <c r="K32" s="7" t="n">
        <v>35</v>
      </c>
      <c r="L32" s="8" t="n">
        <v>0.85</v>
      </c>
      <c r="M32" s="7" t="n">
        <v>40</v>
      </c>
      <c r="N32" s="7" t="n">
        <v>35</v>
      </c>
      <c r="O32" s="8" t="n">
        <v>0.725</v>
      </c>
      <c r="P32" s="7" t="n">
        <v>50</v>
      </c>
      <c r="Q32" s="7" t="n">
        <v>65</v>
      </c>
      <c r="R32" s="8" t="n">
        <v>0.508</v>
      </c>
      <c r="S32" s="7" t="n">
        <v>125</v>
      </c>
    </row>
    <row r="33" customFormat="false" ht="15" hidden="false" customHeight="false" outlineLevel="0" collapsed="false">
      <c r="A33" s="1" t="s">
        <v>73</v>
      </c>
      <c r="B33" s="7" t="n">
        <v>400</v>
      </c>
      <c r="C33" s="8" t="n">
        <v>0.776</v>
      </c>
      <c r="D33" s="7" t="n">
        <v>515</v>
      </c>
      <c r="E33" s="7" t="n">
        <v>265</v>
      </c>
      <c r="F33" s="8" t="n">
        <v>0.762</v>
      </c>
      <c r="G33" s="7" t="n">
        <v>350</v>
      </c>
      <c r="H33" s="7" t="n">
        <v>260</v>
      </c>
      <c r="I33" s="8" t="n">
        <v>0.843</v>
      </c>
      <c r="J33" s="7" t="n">
        <v>305</v>
      </c>
      <c r="K33" s="7" t="n">
        <v>195</v>
      </c>
      <c r="L33" s="8" t="n">
        <v>0.769</v>
      </c>
      <c r="M33" s="7" t="n">
        <v>255</v>
      </c>
      <c r="N33" s="7" t="n">
        <v>305</v>
      </c>
      <c r="O33" s="8" t="n">
        <v>0.953</v>
      </c>
      <c r="P33" s="7" t="n">
        <v>320</v>
      </c>
      <c r="Q33" s="7" t="n">
        <v>375</v>
      </c>
      <c r="R33" s="8" t="n">
        <v>0.92</v>
      </c>
      <c r="S33" s="7" t="n">
        <v>410</v>
      </c>
    </row>
    <row r="34" customFormat="false" ht="15" hidden="false" customHeight="false" outlineLevel="0" collapsed="false">
      <c r="A34" s="1" t="s">
        <v>43</v>
      </c>
      <c r="B34" s="7" t="n">
        <v>720</v>
      </c>
      <c r="C34" s="8" t="n">
        <v>0.845</v>
      </c>
      <c r="D34" s="7" t="n">
        <v>855</v>
      </c>
      <c r="E34" s="7" t="n">
        <v>650</v>
      </c>
      <c r="F34" s="8" t="n">
        <v>0.86</v>
      </c>
      <c r="G34" s="7" t="n">
        <v>755</v>
      </c>
      <c r="H34" s="7" t="n">
        <v>490</v>
      </c>
      <c r="I34" s="8" t="n">
        <v>0.82</v>
      </c>
      <c r="J34" s="7" t="n">
        <v>595</v>
      </c>
      <c r="K34" s="7" t="n">
        <v>475</v>
      </c>
      <c r="L34" s="8" t="n">
        <v>0.873</v>
      </c>
      <c r="M34" s="7" t="n">
        <v>545</v>
      </c>
      <c r="N34" s="7" t="n">
        <v>665</v>
      </c>
      <c r="O34" s="8" t="n">
        <v>0.89</v>
      </c>
      <c r="P34" s="7" t="n">
        <v>745</v>
      </c>
      <c r="Q34" s="7" t="n">
        <v>465</v>
      </c>
      <c r="R34" s="8" t="n">
        <v>0.803</v>
      </c>
      <c r="S34" s="7" t="n">
        <v>580</v>
      </c>
    </row>
    <row r="35" customFormat="false" ht="15" hidden="false" customHeight="false" outlineLevel="0" collapsed="false">
      <c r="A35" s="1" t="s">
        <v>74</v>
      </c>
      <c r="B35" s="7" t="n">
        <v>255</v>
      </c>
      <c r="C35" s="8" t="n">
        <v>0.852</v>
      </c>
      <c r="D35" s="7" t="n">
        <v>295</v>
      </c>
      <c r="E35" s="7" t="n">
        <v>250</v>
      </c>
      <c r="F35" s="8" t="n">
        <v>0.89</v>
      </c>
      <c r="G35" s="7" t="n">
        <v>280</v>
      </c>
      <c r="H35" s="7" t="n">
        <v>220</v>
      </c>
      <c r="I35" s="8" t="n">
        <v>0.862</v>
      </c>
      <c r="J35" s="7" t="n">
        <v>255</v>
      </c>
      <c r="K35" s="7" t="n">
        <v>325</v>
      </c>
      <c r="L35" s="8" t="n">
        <v>0.811</v>
      </c>
      <c r="M35" s="7" t="n">
        <v>400</v>
      </c>
      <c r="N35" s="7" t="n">
        <v>275</v>
      </c>
      <c r="O35" s="8" t="n">
        <v>0.902</v>
      </c>
      <c r="P35" s="7" t="n">
        <v>305</v>
      </c>
      <c r="Q35" s="7" t="n">
        <v>230</v>
      </c>
      <c r="R35" s="8" t="n">
        <v>0.852</v>
      </c>
      <c r="S35" s="7" t="n">
        <v>270</v>
      </c>
    </row>
    <row r="36" customFormat="false" ht="15" hidden="false" customHeight="false" outlineLevel="0" collapsed="false">
      <c r="A36" s="1" t="s">
        <v>75</v>
      </c>
      <c r="B36" s="7" t="n">
        <v>1055</v>
      </c>
      <c r="C36" s="8" t="n">
        <v>0.868</v>
      </c>
      <c r="D36" s="7" t="n">
        <v>1220</v>
      </c>
      <c r="E36" s="7" t="n">
        <v>805</v>
      </c>
      <c r="F36" s="8" t="n">
        <v>0.831</v>
      </c>
      <c r="G36" s="7" t="n">
        <v>970</v>
      </c>
      <c r="H36" s="7" t="n">
        <v>630</v>
      </c>
      <c r="I36" s="8" t="n">
        <v>0.896</v>
      </c>
      <c r="J36" s="7" t="n">
        <v>700</v>
      </c>
      <c r="K36" s="7" t="n">
        <v>750</v>
      </c>
      <c r="L36" s="8" t="n">
        <v>0.916</v>
      </c>
      <c r="M36" s="7" t="n">
        <v>820</v>
      </c>
      <c r="N36" s="7" t="n">
        <v>815</v>
      </c>
      <c r="O36" s="8" t="n">
        <v>0.923</v>
      </c>
      <c r="P36" s="7" t="n">
        <v>885</v>
      </c>
      <c r="Q36" s="7" t="n">
        <v>545</v>
      </c>
      <c r="R36" s="8" t="n">
        <v>0.866</v>
      </c>
      <c r="S36" s="7" t="n">
        <v>630</v>
      </c>
    </row>
    <row r="37" customFormat="false" ht="15" hidden="false" customHeight="false" outlineLevel="0" collapsed="false">
      <c r="A37" s="1" t="s">
        <v>44</v>
      </c>
      <c r="B37" s="7" t="n">
        <v>705</v>
      </c>
      <c r="C37" s="8" t="n">
        <v>0.86</v>
      </c>
      <c r="D37" s="7" t="n">
        <v>820</v>
      </c>
      <c r="E37" s="7" t="n">
        <v>505</v>
      </c>
      <c r="F37" s="8" t="n">
        <v>0.846</v>
      </c>
      <c r="G37" s="7" t="n">
        <v>595</v>
      </c>
      <c r="H37" s="7" t="n">
        <v>480</v>
      </c>
      <c r="I37" s="8" t="n">
        <v>0.812</v>
      </c>
      <c r="J37" s="7" t="n">
        <v>590</v>
      </c>
      <c r="K37" s="7" t="n">
        <v>395</v>
      </c>
      <c r="L37" s="8" t="n">
        <v>0.851</v>
      </c>
      <c r="M37" s="7" t="n">
        <v>465</v>
      </c>
      <c r="N37" s="7" t="n">
        <v>340</v>
      </c>
      <c r="O37" s="8" t="n">
        <v>0.868</v>
      </c>
      <c r="P37" s="7" t="n">
        <v>395</v>
      </c>
      <c r="Q37" s="7" t="n">
        <v>375</v>
      </c>
      <c r="R37" s="8" t="n">
        <v>0.87</v>
      </c>
      <c r="S37" s="7" t="n">
        <v>430</v>
      </c>
    </row>
    <row r="38" customFormat="false" ht="15" hidden="false" customHeight="false" outlineLevel="0" collapsed="false">
      <c r="A38" s="1" t="s">
        <v>76</v>
      </c>
      <c r="B38" s="7" t="n">
        <v>750</v>
      </c>
      <c r="C38" s="8" t="n">
        <v>0.707</v>
      </c>
      <c r="D38" s="7" t="n">
        <v>1060</v>
      </c>
      <c r="E38" s="7" t="n">
        <v>565</v>
      </c>
      <c r="F38" s="8" t="n">
        <v>0.691</v>
      </c>
      <c r="G38" s="7" t="n">
        <v>815</v>
      </c>
      <c r="H38" s="7" t="n">
        <v>445</v>
      </c>
      <c r="I38" s="8" t="n">
        <v>0.727</v>
      </c>
      <c r="J38" s="7" t="n">
        <v>610</v>
      </c>
      <c r="K38" s="7" t="n">
        <v>580</v>
      </c>
      <c r="L38" s="8" t="n">
        <v>0.76</v>
      </c>
      <c r="M38" s="7" t="n">
        <v>765</v>
      </c>
      <c r="N38" s="7" t="n">
        <v>620</v>
      </c>
      <c r="O38" s="8" t="n">
        <v>0.776</v>
      </c>
      <c r="P38" s="7" t="n">
        <v>800</v>
      </c>
      <c r="Q38" s="7" t="n">
        <v>415</v>
      </c>
      <c r="R38" s="8" t="n">
        <v>0.839</v>
      </c>
      <c r="S38" s="7" t="n">
        <v>495</v>
      </c>
    </row>
    <row r="39" customFormat="false" ht="15" hidden="false" customHeight="false" outlineLevel="0" collapsed="false">
      <c r="A39" s="1" t="s">
        <v>77</v>
      </c>
      <c r="B39" s="7" t="n">
        <v>385</v>
      </c>
      <c r="C39" s="8" t="n">
        <v>0.845</v>
      </c>
      <c r="D39" s="7" t="n">
        <v>460</v>
      </c>
      <c r="E39" s="7" t="n">
        <v>225</v>
      </c>
      <c r="F39" s="8" t="n">
        <v>0.811</v>
      </c>
      <c r="G39" s="7" t="n">
        <v>280</v>
      </c>
      <c r="H39" s="7" t="n">
        <v>190</v>
      </c>
      <c r="I39" s="8" t="n">
        <v>0.786</v>
      </c>
      <c r="J39" s="7" t="n">
        <v>245</v>
      </c>
      <c r="K39" s="7" t="n">
        <v>105</v>
      </c>
      <c r="L39" s="8" t="n">
        <v>0.728</v>
      </c>
      <c r="M39" s="7" t="n">
        <v>145</v>
      </c>
      <c r="N39" s="7" t="n">
        <v>160</v>
      </c>
      <c r="O39" s="8" t="n">
        <v>0.885</v>
      </c>
      <c r="P39" s="7" t="n">
        <v>180</v>
      </c>
      <c r="Q39" s="7" t="n">
        <v>120</v>
      </c>
      <c r="R39" s="8" t="n">
        <v>0.779</v>
      </c>
      <c r="S39" s="7" t="n">
        <v>155</v>
      </c>
    </row>
    <row r="40" customFormat="false" ht="15" hidden="false" customHeight="false" outlineLevel="0" collapsed="false">
      <c r="A40" s="1" t="s">
        <v>47</v>
      </c>
      <c r="B40" s="7" t="n">
        <v>530</v>
      </c>
      <c r="C40" s="8" t="n">
        <v>0.867</v>
      </c>
      <c r="D40" s="7" t="n">
        <v>610</v>
      </c>
      <c r="E40" s="7" t="n">
        <v>285</v>
      </c>
      <c r="F40" s="8" t="n">
        <v>0.864</v>
      </c>
      <c r="G40" s="7" t="n">
        <v>330</v>
      </c>
      <c r="H40" s="7" t="n">
        <v>190</v>
      </c>
      <c r="I40" s="8" t="n">
        <v>0.83</v>
      </c>
      <c r="J40" s="7" t="n">
        <v>230</v>
      </c>
      <c r="K40" s="7" t="n">
        <v>215</v>
      </c>
      <c r="L40" s="8" t="n">
        <v>0.846</v>
      </c>
      <c r="M40" s="7" t="n">
        <v>255</v>
      </c>
      <c r="N40" s="7" t="n">
        <v>235</v>
      </c>
      <c r="O40" s="8" t="n">
        <v>0.917</v>
      </c>
      <c r="P40" s="7" t="n">
        <v>255</v>
      </c>
      <c r="Q40" s="7" t="n">
        <v>255</v>
      </c>
      <c r="R40" s="8" t="n">
        <v>0.858</v>
      </c>
      <c r="S40" s="7" t="n">
        <v>295</v>
      </c>
    </row>
    <row r="41" customFormat="false" ht="15" hidden="false" customHeight="false" outlineLevel="0" collapsed="false">
      <c r="A41" s="1" t="s">
        <v>78</v>
      </c>
      <c r="B41" s="7" t="n">
        <v>10</v>
      </c>
      <c r="C41" s="8" t="n">
        <v>0.9</v>
      </c>
      <c r="D41" s="7" t="n">
        <v>10</v>
      </c>
      <c r="E41" s="7" t="n">
        <v>20</v>
      </c>
      <c r="F41" s="8" t="n">
        <v>0.783</v>
      </c>
      <c r="G41" s="7" t="n">
        <v>25</v>
      </c>
      <c r="H41" s="7" t="n">
        <v>10</v>
      </c>
      <c r="I41" s="8" t="n">
        <v>0.909</v>
      </c>
      <c r="J41" s="7" t="n">
        <v>10</v>
      </c>
      <c r="K41" s="7" t="n">
        <v>10</v>
      </c>
      <c r="L41" s="8" t="n">
        <v>0.917</v>
      </c>
      <c r="M41" s="7" t="n">
        <v>10</v>
      </c>
      <c r="N41" s="7" t="n">
        <v>25</v>
      </c>
      <c r="O41" s="8" t="n">
        <v>1</v>
      </c>
      <c r="P41" s="7" t="n">
        <v>25</v>
      </c>
      <c r="Q41" s="7" t="n">
        <v>10</v>
      </c>
      <c r="R41" s="8" t="n">
        <v>1</v>
      </c>
      <c r="S41" s="7" t="n">
        <v>10</v>
      </c>
    </row>
    <row r="42" customFormat="false" ht="15" hidden="false" customHeight="false" outlineLevel="0" collapsed="false">
      <c r="A42" s="9" t="s">
        <v>48</v>
      </c>
      <c r="B42" s="10" t="n">
        <v>25110</v>
      </c>
      <c r="C42" s="11" t="n">
        <v>0.854</v>
      </c>
      <c r="D42" s="10" t="n">
        <v>29410</v>
      </c>
      <c r="E42" s="10" t="n">
        <v>18930</v>
      </c>
      <c r="F42" s="11" t="n">
        <v>0.842</v>
      </c>
      <c r="G42" s="10" t="n">
        <v>22480</v>
      </c>
      <c r="H42" s="10" t="n">
        <v>17255</v>
      </c>
      <c r="I42" s="11" t="n">
        <v>0.849</v>
      </c>
      <c r="J42" s="10" t="n">
        <v>20330</v>
      </c>
      <c r="K42" s="10" t="n">
        <v>18130</v>
      </c>
      <c r="L42" s="11" t="n">
        <v>0.861</v>
      </c>
      <c r="M42" s="10" t="n">
        <v>21045</v>
      </c>
      <c r="N42" s="10" t="n">
        <v>19945</v>
      </c>
      <c r="O42" s="11" t="n">
        <v>0.915</v>
      </c>
      <c r="P42" s="10" t="n">
        <v>21800</v>
      </c>
      <c r="Q42" s="10" t="n">
        <v>16960</v>
      </c>
      <c r="R42" s="11" t="n">
        <v>0.879</v>
      </c>
      <c r="S42" s="10" t="n">
        <v>19285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45 A1"/>
    </sheetView>
  </sheetViews>
  <sheetFormatPr defaultColWidth="11.078125" defaultRowHeight="15" zeroHeight="false" outlineLevelRow="0" outlineLevelCol="0"/>
  <cols>
    <col collapsed="false" customWidth="true" hidden="false" outlineLevel="0" max="1" min="1" style="1" width="54.69"/>
    <col collapsed="false" customWidth="true" hidden="false" outlineLevel="0" max="2" min="2" style="1" width="19.69"/>
    <col collapsed="false" customWidth="true" hidden="false" outlineLevel="0" max="3" min="3" style="1" width="24.69"/>
    <col collapsed="false" customWidth="true" hidden="false" outlineLevel="0" max="4" min="4" style="1" width="13.69"/>
    <col collapsed="false" customWidth="true" hidden="false" outlineLevel="0" max="5" min="5" style="1" width="19.69"/>
    <col collapsed="false" customWidth="true" hidden="false" outlineLevel="0" max="6" min="6" style="1" width="24.69"/>
    <col collapsed="false" customWidth="true" hidden="false" outlineLevel="0" max="7" min="7" style="1" width="13.69"/>
    <col collapsed="false" customWidth="true" hidden="false" outlineLevel="0" max="8" min="8" style="1" width="19.69"/>
    <col collapsed="false" customWidth="true" hidden="false" outlineLevel="0" max="9" min="9" style="1" width="24.69"/>
    <col collapsed="false" customWidth="true" hidden="false" outlineLevel="0" max="10" min="10" style="1" width="13.69"/>
    <col collapsed="false" customWidth="true" hidden="false" outlineLevel="0" max="11" min="11" style="1" width="19.69"/>
    <col collapsed="false" customWidth="true" hidden="false" outlineLevel="0" max="12" min="12" style="1" width="24.69"/>
    <col collapsed="false" customWidth="true" hidden="false" outlineLevel="0" max="13" min="13" style="1" width="13.69"/>
    <col collapsed="false" customWidth="true" hidden="false" outlineLevel="0" max="14" min="14" style="1" width="19.69"/>
    <col collapsed="false" customWidth="true" hidden="false" outlineLevel="0" max="15" min="15" style="1" width="24.69"/>
    <col collapsed="false" customWidth="true" hidden="false" outlineLevel="0" max="16" min="16" style="1" width="13.69"/>
    <col collapsed="false" customWidth="true" hidden="false" outlineLevel="0" max="17" min="17" style="1" width="19.69"/>
    <col collapsed="false" customWidth="true" hidden="false" outlineLevel="0" max="18" min="18" style="1" width="24.69"/>
    <col collapsed="false" customWidth="true" hidden="false" outlineLevel="0" max="19" min="19" style="1" width="13.69"/>
  </cols>
  <sheetData>
    <row r="1" customFormat="false" ht="30" hidden="false" customHeight="true" outlineLevel="0" collapsed="false">
      <c r="A1" s="2" t="s">
        <v>79</v>
      </c>
    </row>
    <row r="2" customFormat="false" ht="15" hidden="false" customHeight="false" outlineLevel="0" collapsed="false">
      <c r="A2" s="1" t="s">
        <v>7</v>
      </c>
    </row>
    <row r="3" customFormat="false" ht="15" hidden="false" customHeight="false" outlineLevel="0" collapsed="false">
      <c r="A3" s="1" t="s">
        <v>8</v>
      </c>
    </row>
    <row r="4" customFormat="false" ht="15" hidden="false" customHeight="false" outlineLevel="0" collapsed="false">
      <c r="A4" s="6" t="s">
        <v>9</v>
      </c>
      <c r="B4" s="6" t="s">
        <v>10</v>
      </c>
      <c r="C4" s="6" t="s">
        <v>11</v>
      </c>
      <c r="D4" s="6" t="s">
        <v>12</v>
      </c>
      <c r="E4" s="6" t="s">
        <v>13</v>
      </c>
      <c r="F4" s="6" t="s">
        <v>14</v>
      </c>
      <c r="G4" s="6" t="s">
        <v>15</v>
      </c>
      <c r="H4" s="6" t="s">
        <v>16</v>
      </c>
      <c r="I4" s="6" t="s">
        <v>17</v>
      </c>
      <c r="J4" s="6" t="s">
        <v>18</v>
      </c>
      <c r="K4" s="6" t="s">
        <v>19</v>
      </c>
      <c r="L4" s="6" t="s">
        <v>20</v>
      </c>
      <c r="M4" s="6" t="s">
        <v>21</v>
      </c>
      <c r="N4" s="6" t="s">
        <v>22</v>
      </c>
      <c r="O4" s="6" t="s">
        <v>23</v>
      </c>
      <c r="P4" s="6" t="s">
        <v>24</v>
      </c>
      <c r="Q4" s="6" t="s">
        <v>25</v>
      </c>
      <c r="R4" s="6" t="s">
        <v>26</v>
      </c>
      <c r="S4" s="6" t="s">
        <v>27</v>
      </c>
    </row>
    <row r="5" customFormat="false" ht="15" hidden="false" customHeight="false" outlineLevel="0" collapsed="false">
      <c r="A5" s="1" t="s">
        <v>50</v>
      </c>
      <c r="B5" s="7" t="n">
        <v>1720</v>
      </c>
      <c r="C5" s="8" t="n">
        <v>0.839</v>
      </c>
      <c r="D5" s="7" t="n">
        <v>2050</v>
      </c>
      <c r="E5" s="7" t="n">
        <v>1825</v>
      </c>
      <c r="F5" s="8" t="n">
        <v>0.845</v>
      </c>
      <c r="G5" s="7" t="n">
        <v>2160</v>
      </c>
      <c r="H5" s="7" t="n">
        <v>1865</v>
      </c>
      <c r="I5" s="8" t="n">
        <v>0.833</v>
      </c>
      <c r="J5" s="7" t="n">
        <v>2235</v>
      </c>
      <c r="K5" s="7" t="n">
        <v>1450</v>
      </c>
      <c r="L5" s="8" t="n">
        <v>0.87</v>
      </c>
      <c r="M5" s="7" t="n">
        <v>1665</v>
      </c>
      <c r="N5" s="7" t="n">
        <v>1855</v>
      </c>
      <c r="O5" s="8" t="n">
        <v>0.928</v>
      </c>
      <c r="P5" s="7" t="n">
        <v>2000</v>
      </c>
      <c r="Q5" s="7" t="n">
        <v>1840</v>
      </c>
      <c r="R5" s="8" t="n">
        <v>0.889</v>
      </c>
      <c r="S5" s="7" t="n">
        <v>2070</v>
      </c>
    </row>
    <row r="6" customFormat="false" ht="15" hidden="false" customHeight="false" outlineLevel="0" collapsed="false">
      <c r="A6" s="1" t="s">
        <v>51</v>
      </c>
      <c r="B6" s="7" t="n">
        <v>8120</v>
      </c>
      <c r="C6" s="8" t="n">
        <v>0.805</v>
      </c>
      <c r="D6" s="7" t="n">
        <v>10085</v>
      </c>
      <c r="E6" s="7" t="n">
        <v>7715</v>
      </c>
      <c r="F6" s="8" t="n">
        <v>0.824</v>
      </c>
      <c r="G6" s="7" t="n">
        <v>9365</v>
      </c>
      <c r="H6" s="7" t="n">
        <v>5900</v>
      </c>
      <c r="I6" s="8" t="n">
        <v>0.812</v>
      </c>
      <c r="J6" s="7" t="n">
        <v>7265</v>
      </c>
      <c r="K6" s="7" t="n">
        <v>4150</v>
      </c>
      <c r="L6" s="8" t="n">
        <v>0.784</v>
      </c>
      <c r="M6" s="7" t="n">
        <v>5295</v>
      </c>
      <c r="N6" s="7" t="n">
        <v>3190</v>
      </c>
      <c r="O6" s="8" t="n">
        <v>0.842</v>
      </c>
      <c r="P6" s="7" t="n">
        <v>3790</v>
      </c>
      <c r="Q6" s="7" t="n">
        <v>2380</v>
      </c>
      <c r="R6" s="8" t="n">
        <v>0.803</v>
      </c>
      <c r="S6" s="7" t="n">
        <v>2965</v>
      </c>
    </row>
    <row r="7" customFormat="false" ht="15" hidden="false" customHeight="false" outlineLevel="0" collapsed="false">
      <c r="A7" s="1" t="s">
        <v>52</v>
      </c>
      <c r="B7" s="7" t="n">
        <v>2865</v>
      </c>
      <c r="C7" s="8" t="n">
        <v>0.831</v>
      </c>
      <c r="D7" s="7" t="n">
        <v>3450</v>
      </c>
      <c r="E7" s="7" t="n">
        <v>2905</v>
      </c>
      <c r="F7" s="8" t="n">
        <v>0.822</v>
      </c>
      <c r="G7" s="7" t="n">
        <v>3535</v>
      </c>
      <c r="H7" s="7" t="n">
        <v>2865</v>
      </c>
      <c r="I7" s="8" t="n">
        <v>0.83</v>
      </c>
      <c r="J7" s="7" t="n">
        <v>3455</v>
      </c>
      <c r="K7" s="7" t="n">
        <v>2765</v>
      </c>
      <c r="L7" s="8" t="n">
        <v>0.87</v>
      </c>
      <c r="M7" s="7" t="n">
        <v>3180</v>
      </c>
      <c r="N7" s="7" t="n">
        <v>3030</v>
      </c>
      <c r="O7" s="8" t="n">
        <v>0.9</v>
      </c>
      <c r="P7" s="7" t="n">
        <v>3365</v>
      </c>
      <c r="Q7" s="7" t="n">
        <v>2755</v>
      </c>
      <c r="R7" s="8" t="n">
        <v>0.863</v>
      </c>
      <c r="S7" s="7" t="n">
        <v>3195</v>
      </c>
    </row>
    <row r="8" customFormat="false" ht="15" hidden="false" customHeight="false" outlineLevel="0" collapsed="false">
      <c r="A8" s="1" t="s">
        <v>53</v>
      </c>
      <c r="B8" s="7" t="n">
        <v>6815</v>
      </c>
      <c r="C8" s="8" t="n">
        <v>0.88</v>
      </c>
      <c r="D8" s="7" t="n">
        <v>7740</v>
      </c>
      <c r="E8" s="7" t="n">
        <v>8450</v>
      </c>
      <c r="F8" s="8" t="n">
        <v>0.907</v>
      </c>
      <c r="G8" s="7" t="n">
        <v>9315</v>
      </c>
      <c r="H8" s="7" t="n">
        <v>7690</v>
      </c>
      <c r="I8" s="8" t="n">
        <v>0.901</v>
      </c>
      <c r="J8" s="7" t="n">
        <v>8530</v>
      </c>
      <c r="K8" s="7" t="n">
        <v>6375</v>
      </c>
      <c r="L8" s="8" t="n">
        <v>0.895</v>
      </c>
      <c r="M8" s="7" t="n">
        <v>7120</v>
      </c>
      <c r="N8" s="7" t="n">
        <v>6100</v>
      </c>
      <c r="O8" s="8" t="n">
        <v>0.936</v>
      </c>
      <c r="P8" s="7" t="n">
        <v>6520</v>
      </c>
      <c r="Q8" s="7" t="n">
        <v>6555</v>
      </c>
      <c r="R8" s="8" t="n">
        <v>0.916</v>
      </c>
      <c r="S8" s="7" t="n">
        <v>7160</v>
      </c>
    </row>
    <row r="9" customFormat="false" ht="15" hidden="false" customHeight="false" outlineLevel="0" collapsed="false">
      <c r="A9" s="12" t="s">
        <v>80</v>
      </c>
      <c r="B9" s="7" t="s">
        <v>35</v>
      </c>
      <c r="C9" s="8" t="s">
        <v>35</v>
      </c>
      <c r="D9" s="7" t="n">
        <v>0</v>
      </c>
      <c r="E9" s="7" t="s">
        <v>35</v>
      </c>
      <c r="F9" s="8" t="s">
        <v>35</v>
      </c>
      <c r="G9" s="7" t="n">
        <v>0</v>
      </c>
      <c r="H9" s="7" t="n">
        <v>15</v>
      </c>
      <c r="I9" s="8" t="n">
        <v>0.929</v>
      </c>
      <c r="J9" s="7" t="n">
        <v>15</v>
      </c>
      <c r="K9" s="7" t="s">
        <v>35</v>
      </c>
      <c r="L9" s="8" t="s">
        <v>35</v>
      </c>
      <c r="M9" s="7" t="s">
        <v>35</v>
      </c>
      <c r="N9" s="7" t="s">
        <v>35</v>
      </c>
      <c r="O9" s="8" t="s">
        <v>35</v>
      </c>
      <c r="P9" s="7" t="s">
        <v>35</v>
      </c>
      <c r="Q9" s="7" t="s">
        <v>35</v>
      </c>
      <c r="R9" s="8" t="s">
        <v>35</v>
      </c>
      <c r="S9" s="7" t="s">
        <v>35</v>
      </c>
    </row>
    <row r="10" customFormat="false" ht="15" hidden="false" customHeight="false" outlineLevel="0" collapsed="false">
      <c r="A10" s="1" t="s">
        <v>54</v>
      </c>
      <c r="B10" s="7" t="n">
        <v>3580</v>
      </c>
      <c r="C10" s="8" t="n">
        <v>0.893</v>
      </c>
      <c r="D10" s="7" t="n">
        <v>4010</v>
      </c>
      <c r="E10" s="7" t="n">
        <v>4455</v>
      </c>
      <c r="F10" s="8" t="n">
        <v>0.915</v>
      </c>
      <c r="G10" s="7" t="n">
        <v>4870</v>
      </c>
      <c r="H10" s="7" t="n">
        <v>3080</v>
      </c>
      <c r="I10" s="8" t="n">
        <v>0.882</v>
      </c>
      <c r="J10" s="7" t="n">
        <v>3490</v>
      </c>
      <c r="K10" s="7" t="n">
        <v>2525</v>
      </c>
      <c r="L10" s="8" t="n">
        <v>0.893</v>
      </c>
      <c r="M10" s="7" t="n">
        <v>2830</v>
      </c>
      <c r="N10" s="7" t="n">
        <v>2485</v>
      </c>
      <c r="O10" s="8" t="n">
        <v>0.936</v>
      </c>
      <c r="P10" s="7" t="n">
        <v>2655</v>
      </c>
      <c r="Q10" s="7" t="n">
        <v>2160</v>
      </c>
      <c r="R10" s="8" t="n">
        <v>0.909</v>
      </c>
      <c r="S10" s="7" t="n">
        <v>2375</v>
      </c>
    </row>
    <row r="11" customFormat="false" ht="15" hidden="false" customHeight="false" outlineLevel="0" collapsed="false">
      <c r="A11" s="1" t="s">
        <v>81</v>
      </c>
      <c r="B11" s="7" t="n">
        <v>65</v>
      </c>
      <c r="C11" s="8" t="n">
        <v>0.67</v>
      </c>
      <c r="D11" s="7" t="n">
        <v>95</v>
      </c>
      <c r="E11" s="7" t="n">
        <v>45</v>
      </c>
      <c r="F11" s="8" t="n">
        <v>0.35</v>
      </c>
      <c r="G11" s="7" t="n">
        <v>125</v>
      </c>
      <c r="H11" s="7" t="n">
        <v>65</v>
      </c>
      <c r="I11" s="8" t="n">
        <v>0.833</v>
      </c>
      <c r="J11" s="7" t="n">
        <v>80</v>
      </c>
      <c r="K11" s="7" t="n">
        <v>85</v>
      </c>
      <c r="L11" s="8" t="n">
        <v>0.755</v>
      </c>
      <c r="M11" s="7" t="n">
        <v>110</v>
      </c>
      <c r="N11" s="7" t="n">
        <v>115</v>
      </c>
      <c r="O11" s="8" t="n">
        <v>0.877</v>
      </c>
      <c r="P11" s="7" t="n">
        <v>130</v>
      </c>
      <c r="Q11" s="7" t="n">
        <v>100</v>
      </c>
      <c r="R11" s="8" t="n">
        <v>0.91</v>
      </c>
      <c r="S11" s="7" t="n">
        <v>110</v>
      </c>
    </row>
    <row r="12" customFormat="false" ht="15" hidden="false" customHeight="false" outlineLevel="0" collapsed="false">
      <c r="A12" s="1" t="s">
        <v>55</v>
      </c>
      <c r="B12" s="7" t="n">
        <v>4190</v>
      </c>
      <c r="C12" s="8" t="n">
        <v>0.896</v>
      </c>
      <c r="D12" s="7" t="n">
        <v>4680</v>
      </c>
      <c r="E12" s="7" t="n">
        <v>4965</v>
      </c>
      <c r="F12" s="8" t="n">
        <v>0.912</v>
      </c>
      <c r="G12" s="7" t="n">
        <v>5445</v>
      </c>
      <c r="H12" s="7" t="n">
        <v>4255</v>
      </c>
      <c r="I12" s="8" t="n">
        <v>0.896</v>
      </c>
      <c r="J12" s="7" t="n">
        <v>4750</v>
      </c>
      <c r="K12" s="7" t="n">
        <v>3570</v>
      </c>
      <c r="L12" s="8" t="n">
        <v>0.872</v>
      </c>
      <c r="M12" s="7" t="n">
        <v>4090</v>
      </c>
      <c r="N12" s="7" t="n">
        <v>3690</v>
      </c>
      <c r="O12" s="8" t="n">
        <v>0.942</v>
      </c>
      <c r="P12" s="7" t="n">
        <v>3920</v>
      </c>
      <c r="Q12" s="7" t="n">
        <v>3545</v>
      </c>
      <c r="R12" s="8" t="n">
        <v>0.915</v>
      </c>
      <c r="S12" s="7" t="n">
        <v>3875</v>
      </c>
    </row>
    <row r="13" customFormat="false" ht="15" hidden="false" customHeight="false" outlineLevel="0" collapsed="false">
      <c r="A13" s="1" t="s">
        <v>56</v>
      </c>
      <c r="B13" s="7" t="n">
        <v>100</v>
      </c>
      <c r="C13" s="8" t="n">
        <v>0.895</v>
      </c>
      <c r="D13" s="7" t="n">
        <v>115</v>
      </c>
      <c r="E13" s="7" t="n">
        <v>80</v>
      </c>
      <c r="F13" s="8" t="n">
        <v>0.684</v>
      </c>
      <c r="G13" s="7" t="n">
        <v>115</v>
      </c>
      <c r="H13" s="7" t="n">
        <v>55</v>
      </c>
      <c r="I13" s="8" t="n">
        <v>0.885</v>
      </c>
      <c r="J13" s="7" t="n">
        <v>60</v>
      </c>
      <c r="K13" s="7" t="n">
        <v>25</v>
      </c>
      <c r="L13" s="8" t="n">
        <v>0.897</v>
      </c>
      <c r="M13" s="7" t="n">
        <v>30</v>
      </c>
      <c r="N13" s="7" t="n">
        <v>30</v>
      </c>
      <c r="O13" s="8" t="n">
        <v>0.967</v>
      </c>
      <c r="P13" s="7" t="n">
        <v>30</v>
      </c>
      <c r="Q13" s="7" t="n">
        <v>45</v>
      </c>
      <c r="R13" s="8" t="n">
        <v>0.918</v>
      </c>
      <c r="S13" s="7" t="n">
        <v>50</v>
      </c>
    </row>
    <row r="14" customFormat="false" ht="15" hidden="false" customHeight="false" outlineLevel="0" collapsed="false">
      <c r="A14" s="1" t="s">
        <v>57</v>
      </c>
      <c r="B14" s="7" t="n">
        <v>2125</v>
      </c>
      <c r="C14" s="8" t="n">
        <v>0.843</v>
      </c>
      <c r="D14" s="7" t="n">
        <v>2520</v>
      </c>
      <c r="E14" s="7" t="n">
        <v>3055</v>
      </c>
      <c r="F14" s="8" t="n">
        <v>0.902</v>
      </c>
      <c r="G14" s="7" t="n">
        <v>3385</v>
      </c>
      <c r="H14" s="7" t="n">
        <v>2455</v>
      </c>
      <c r="I14" s="8" t="n">
        <v>0.848</v>
      </c>
      <c r="J14" s="7" t="n">
        <v>2895</v>
      </c>
      <c r="K14" s="7" t="n">
        <v>2365</v>
      </c>
      <c r="L14" s="8" t="n">
        <v>0.908</v>
      </c>
      <c r="M14" s="7" t="n">
        <v>2605</v>
      </c>
      <c r="N14" s="7" t="n">
        <v>2525</v>
      </c>
      <c r="O14" s="8" t="n">
        <v>0.902</v>
      </c>
      <c r="P14" s="7" t="n">
        <v>2795</v>
      </c>
      <c r="Q14" s="7" t="n">
        <v>2330</v>
      </c>
      <c r="R14" s="8" t="n">
        <v>0.88</v>
      </c>
      <c r="S14" s="7" t="n">
        <v>2650</v>
      </c>
    </row>
    <row r="15" customFormat="false" ht="15" hidden="false" customHeight="false" outlineLevel="0" collapsed="false">
      <c r="A15" s="1" t="s">
        <v>82</v>
      </c>
      <c r="B15" s="7" t="s">
        <v>33</v>
      </c>
      <c r="C15" s="8" t="s">
        <v>33</v>
      </c>
      <c r="D15" s="7" t="s">
        <v>33</v>
      </c>
      <c r="E15" s="7" t="s">
        <v>33</v>
      </c>
      <c r="F15" s="8" t="s">
        <v>33</v>
      </c>
      <c r="G15" s="7" t="s">
        <v>33</v>
      </c>
      <c r="H15" s="7" t="s">
        <v>33</v>
      </c>
      <c r="I15" s="8" t="s">
        <v>33</v>
      </c>
      <c r="J15" s="7" t="s">
        <v>33</v>
      </c>
      <c r="K15" s="7" t="n">
        <v>5</v>
      </c>
      <c r="L15" s="8" t="n">
        <v>1</v>
      </c>
      <c r="M15" s="7" t="n">
        <v>5</v>
      </c>
      <c r="N15" s="7" t="s">
        <v>33</v>
      </c>
      <c r="O15" s="8" t="s">
        <v>33</v>
      </c>
      <c r="P15" s="7" t="s">
        <v>33</v>
      </c>
      <c r="Q15" s="7" t="n">
        <v>5</v>
      </c>
      <c r="R15" s="8" t="n">
        <v>0.857</v>
      </c>
      <c r="S15" s="7" t="n">
        <v>5</v>
      </c>
    </row>
    <row r="16" customFormat="false" ht="15" hidden="false" customHeight="false" outlineLevel="0" collapsed="false">
      <c r="A16" s="1" t="s">
        <v>83</v>
      </c>
      <c r="B16" s="7" t="n">
        <v>960</v>
      </c>
      <c r="C16" s="8" t="n">
        <v>0.707</v>
      </c>
      <c r="D16" s="7" t="n">
        <v>1360</v>
      </c>
      <c r="E16" s="7" t="n">
        <v>1360</v>
      </c>
      <c r="F16" s="8" t="n">
        <v>0.791</v>
      </c>
      <c r="G16" s="7" t="n">
        <v>1720</v>
      </c>
      <c r="H16" s="7" t="n">
        <v>1390</v>
      </c>
      <c r="I16" s="8" t="n">
        <v>0.824</v>
      </c>
      <c r="J16" s="7" t="n">
        <v>1685</v>
      </c>
      <c r="K16" s="7" t="n">
        <v>1140</v>
      </c>
      <c r="L16" s="8" t="n">
        <v>0.847</v>
      </c>
      <c r="M16" s="7" t="n">
        <v>1345</v>
      </c>
      <c r="N16" s="7" t="n">
        <v>1290</v>
      </c>
      <c r="O16" s="8" t="n">
        <v>0.825</v>
      </c>
      <c r="P16" s="7" t="n">
        <v>1560</v>
      </c>
      <c r="Q16" s="7" t="n">
        <v>1145</v>
      </c>
      <c r="R16" s="8" t="n">
        <v>0.755</v>
      </c>
      <c r="S16" s="7" t="n">
        <v>1515</v>
      </c>
    </row>
    <row r="17" customFormat="false" ht="15" hidden="false" customHeight="false" outlineLevel="0" collapsed="false">
      <c r="A17" s="1" t="s">
        <v>59</v>
      </c>
      <c r="B17" s="7" t="n">
        <v>625</v>
      </c>
      <c r="C17" s="8" t="n">
        <v>0.807</v>
      </c>
      <c r="D17" s="7" t="n">
        <v>775</v>
      </c>
      <c r="E17" s="7" t="n">
        <v>615</v>
      </c>
      <c r="F17" s="8" t="n">
        <v>0.797</v>
      </c>
      <c r="G17" s="7" t="n">
        <v>775</v>
      </c>
      <c r="H17" s="7" t="n">
        <v>665</v>
      </c>
      <c r="I17" s="8" t="n">
        <v>0.823</v>
      </c>
      <c r="J17" s="7" t="n">
        <v>805</v>
      </c>
      <c r="K17" s="7" t="n">
        <v>725</v>
      </c>
      <c r="L17" s="8" t="n">
        <v>0.89</v>
      </c>
      <c r="M17" s="7" t="n">
        <v>815</v>
      </c>
      <c r="N17" s="7" t="n">
        <v>790</v>
      </c>
      <c r="O17" s="8" t="n">
        <v>0.944</v>
      </c>
      <c r="P17" s="7" t="n">
        <v>835</v>
      </c>
      <c r="Q17" s="7" t="n">
        <v>705</v>
      </c>
      <c r="R17" s="8" t="n">
        <v>0.866</v>
      </c>
      <c r="S17" s="7" t="n">
        <v>815</v>
      </c>
    </row>
    <row r="18" customFormat="false" ht="15" hidden="false" customHeight="false" outlineLevel="0" collapsed="false">
      <c r="A18" s="1" t="s">
        <v>84</v>
      </c>
      <c r="B18" s="7" t="s">
        <v>33</v>
      </c>
      <c r="C18" s="8" t="s">
        <v>33</v>
      </c>
      <c r="D18" s="7" t="n">
        <v>5</v>
      </c>
      <c r="E18" s="7" t="s">
        <v>33</v>
      </c>
      <c r="F18" s="8" t="s">
        <v>33</v>
      </c>
      <c r="G18" s="7" t="s">
        <v>33</v>
      </c>
      <c r="H18" s="7" t="s">
        <v>33</v>
      </c>
      <c r="I18" s="8" t="s">
        <v>33</v>
      </c>
      <c r="J18" s="7" t="n">
        <v>5</v>
      </c>
      <c r="K18" s="7" t="n">
        <v>10</v>
      </c>
      <c r="L18" s="8" t="n">
        <v>1</v>
      </c>
      <c r="M18" s="7" t="n">
        <v>10</v>
      </c>
      <c r="N18" s="7" t="n">
        <v>5</v>
      </c>
      <c r="O18" s="8" t="n">
        <v>1</v>
      </c>
      <c r="P18" s="7" t="n">
        <v>5</v>
      </c>
      <c r="Q18" s="7" t="s">
        <v>33</v>
      </c>
      <c r="R18" s="8" t="s">
        <v>33</v>
      </c>
      <c r="S18" s="7" t="s">
        <v>33</v>
      </c>
    </row>
    <row r="19" customFormat="false" ht="15" hidden="false" customHeight="false" outlineLevel="0" collapsed="false">
      <c r="A19" s="1" t="s">
        <v>85</v>
      </c>
      <c r="B19" s="7" t="n">
        <v>250</v>
      </c>
      <c r="C19" s="8" t="n">
        <v>0.74</v>
      </c>
      <c r="D19" s="7" t="n">
        <v>340</v>
      </c>
      <c r="E19" s="7" t="n">
        <v>285</v>
      </c>
      <c r="F19" s="8" t="n">
        <v>0.739</v>
      </c>
      <c r="G19" s="7" t="n">
        <v>385</v>
      </c>
      <c r="H19" s="7" t="n">
        <v>265</v>
      </c>
      <c r="I19" s="8" t="n">
        <v>0.779</v>
      </c>
      <c r="J19" s="7" t="n">
        <v>340</v>
      </c>
      <c r="K19" s="7" t="n">
        <v>240</v>
      </c>
      <c r="L19" s="8" t="n">
        <v>0.888</v>
      </c>
      <c r="M19" s="7" t="n">
        <v>270</v>
      </c>
      <c r="N19" s="7" t="n">
        <v>235</v>
      </c>
      <c r="O19" s="8" t="n">
        <v>0.88</v>
      </c>
      <c r="P19" s="7" t="n">
        <v>265</v>
      </c>
      <c r="Q19" s="7" t="n">
        <v>265</v>
      </c>
      <c r="R19" s="8" t="n">
        <v>0.781</v>
      </c>
      <c r="S19" s="7" t="n">
        <v>340</v>
      </c>
    </row>
    <row r="20" customFormat="false" ht="15" hidden="false" customHeight="false" outlineLevel="0" collapsed="false">
      <c r="A20" s="1" t="s">
        <v>60</v>
      </c>
      <c r="B20" s="7" t="n">
        <v>16455</v>
      </c>
      <c r="C20" s="8" t="n">
        <v>0.905</v>
      </c>
      <c r="D20" s="7" t="n">
        <v>18190</v>
      </c>
      <c r="E20" s="7" t="n">
        <v>18320</v>
      </c>
      <c r="F20" s="8" t="n">
        <v>0.924</v>
      </c>
      <c r="G20" s="7" t="n">
        <v>19830</v>
      </c>
      <c r="H20" s="7" t="n">
        <v>15615</v>
      </c>
      <c r="I20" s="8" t="n">
        <v>0.908</v>
      </c>
      <c r="J20" s="7" t="n">
        <v>17205</v>
      </c>
      <c r="K20" s="7" t="n">
        <v>12885</v>
      </c>
      <c r="L20" s="8" t="n">
        <v>0.89</v>
      </c>
      <c r="M20" s="7" t="n">
        <v>14470</v>
      </c>
      <c r="N20" s="7" t="n">
        <v>12960</v>
      </c>
      <c r="O20" s="8" t="n">
        <v>0.942</v>
      </c>
      <c r="P20" s="7" t="n">
        <v>13760</v>
      </c>
      <c r="Q20" s="7" t="n">
        <v>12770</v>
      </c>
      <c r="R20" s="8" t="n">
        <v>0.918</v>
      </c>
      <c r="S20" s="7" t="n">
        <v>13915</v>
      </c>
    </row>
    <row r="21" customFormat="false" ht="15" hidden="false" customHeight="false" outlineLevel="0" collapsed="false">
      <c r="A21" s="1" t="s">
        <v>61</v>
      </c>
      <c r="B21" s="7" t="n">
        <v>515</v>
      </c>
      <c r="C21" s="8" t="n">
        <v>0.747</v>
      </c>
      <c r="D21" s="7" t="n">
        <v>690</v>
      </c>
      <c r="E21" s="7" t="n">
        <v>430</v>
      </c>
      <c r="F21" s="8" t="n">
        <v>0.612</v>
      </c>
      <c r="G21" s="7" t="n">
        <v>705</v>
      </c>
      <c r="H21" s="7" t="n">
        <v>475</v>
      </c>
      <c r="I21" s="8" t="n">
        <v>0.887</v>
      </c>
      <c r="J21" s="7" t="n">
        <v>540</v>
      </c>
      <c r="K21" s="7" t="n">
        <v>440</v>
      </c>
      <c r="L21" s="8" t="n">
        <v>0.783</v>
      </c>
      <c r="M21" s="7" t="n">
        <v>560</v>
      </c>
      <c r="N21" s="7" t="n">
        <v>595</v>
      </c>
      <c r="O21" s="8" t="n">
        <v>0.79</v>
      </c>
      <c r="P21" s="7" t="n">
        <v>750</v>
      </c>
      <c r="Q21" s="7" t="n">
        <v>475</v>
      </c>
      <c r="R21" s="8" t="n">
        <v>0.833</v>
      </c>
      <c r="S21" s="7" t="n">
        <v>570</v>
      </c>
    </row>
    <row r="22" customFormat="false" ht="15" hidden="false" customHeight="false" outlineLevel="0" collapsed="false">
      <c r="A22" s="1" t="s">
        <v>62</v>
      </c>
      <c r="B22" s="7" t="n">
        <v>275</v>
      </c>
      <c r="C22" s="8" t="n">
        <v>0.804</v>
      </c>
      <c r="D22" s="7" t="n">
        <v>340</v>
      </c>
      <c r="E22" s="7" t="n">
        <v>405</v>
      </c>
      <c r="F22" s="8" t="n">
        <v>0.921</v>
      </c>
      <c r="G22" s="7" t="n">
        <v>440</v>
      </c>
      <c r="H22" s="7" t="n">
        <v>445</v>
      </c>
      <c r="I22" s="8" t="n">
        <v>0.897</v>
      </c>
      <c r="J22" s="7" t="n">
        <v>495</v>
      </c>
      <c r="K22" s="7" t="n">
        <v>325</v>
      </c>
      <c r="L22" s="8" t="n">
        <v>0.868</v>
      </c>
      <c r="M22" s="7" t="n">
        <v>370</v>
      </c>
      <c r="N22" s="7" t="n">
        <v>285</v>
      </c>
      <c r="O22" s="8" t="n">
        <v>0.888</v>
      </c>
      <c r="P22" s="7" t="n">
        <v>320</v>
      </c>
      <c r="Q22" s="7" t="n">
        <v>285</v>
      </c>
      <c r="R22" s="8" t="n">
        <v>0.869</v>
      </c>
      <c r="S22" s="7" t="n">
        <v>330</v>
      </c>
    </row>
    <row r="23" customFormat="false" ht="15" hidden="false" customHeight="false" outlineLevel="0" collapsed="false">
      <c r="A23" s="1" t="s">
        <v>63</v>
      </c>
      <c r="B23" s="7" t="n">
        <v>210</v>
      </c>
      <c r="C23" s="8" t="n">
        <v>0.791</v>
      </c>
      <c r="D23" s="7" t="n">
        <v>270</v>
      </c>
      <c r="E23" s="7" t="n">
        <v>215</v>
      </c>
      <c r="F23" s="8" t="n">
        <v>0.867</v>
      </c>
      <c r="G23" s="7" t="n">
        <v>250</v>
      </c>
      <c r="H23" s="7" t="n">
        <v>190</v>
      </c>
      <c r="I23" s="8" t="n">
        <v>0.844</v>
      </c>
      <c r="J23" s="7" t="n">
        <v>225</v>
      </c>
      <c r="K23" s="7" t="n">
        <v>155</v>
      </c>
      <c r="L23" s="8" t="n">
        <v>0.853</v>
      </c>
      <c r="M23" s="7" t="n">
        <v>185</v>
      </c>
      <c r="N23" s="7" t="n">
        <v>155</v>
      </c>
      <c r="O23" s="8" t="n">
        <v>0.853</v>
      </c>
      <c r="P23" s="7" t="n">
        <v>185</v>
      </c>
      <c r="Q23" s="7" t="n">
        <v>160</v>
      </c>
      <c r="R23" s="8" t="n">
        <v>0.791</v>
      </c>
      <c r="S23" s="7" t="n">
        <v>200</v>
      </c>
    </row>
    <row r="24" customFormat="false" ht="15" hidden="false" customHeight="false" outlineLevel="0" collapsed="false">
      <c r="A24" s="1" t="s">
        <v>32</v>
      </c>
      <c r="B24" s="7" t="n">
        <v>2005</v>
      </c>
      <c r="C24" s="8" t="n">
        <v>0.893</v>
      </c>
      <c r="D24" s="7" t="n">
        <v>2245</v>
      </c>
      <c r="E24" s="7" t="n">
        <v>2740</v>
      </c>
      <c r="F24" s="8" t="n">
        <v>0.914</v>
      </c>
      <c r="G24" s="7" t="n">
        <v>3000</v>
      </c>
      <c r="H24" s="7" t="n">
        <v>2135</v>
      </c>
      <c r="I24" s="8" t="n">
        <v>0.863</v>
      </c>
      <c r="J24" s="7" t="n">
        <v>2475</v>
      </c>
      <c r="K24" s="7" t="n">
        <v>1770</v>
      </c>
      <c r="L24" s="8" t="n">
        <v>0.893</v>
      </c>
      <c r="M24" s="7" t="n">
        <v>1980</v>
      </c>
      <c r="N24" s="7" t="n">
        <v>2260</v>
      </c>
      <c r="O24" s="8" t="n">
        <v>0.952</v>
      </c>
      <c r="P24" s="7" t="n">
        <v>2375</v>
      </c>
      <c r="Q24" s="7" t="n">
        <v>2315</v>
      </c>
      <c r="R24" s="8" t="n">
        <v>0.957</v>
      </c>
      <c r="S24" s="7" t="n">
        <v>2420</v>
      </c>
    </row>
    <row r="25" customFormat="false" ht="15" hidden="false" customHeight="false" outlineLevel="0" collapsed="false">
      <c r="A25" s="1" t="s">
        <v>34</v>
      </c>
      <c r="B25" s="7" t="n">
        <v>55</v>
      </c>
      <c r="C25" s="8" t="n">
        <v>0.828</v>
      </c>
      <c r="D25" s="7" t="n">
        <v>65</v>
      </c>
      <c r="E25" s="7" t="n">
        <v>35</v>
      </c>
      <c r="F25" s="8" t="n">
        <v>0.925</v>
      </c>
      <c r="G25" s="7" t="n">
        <v>40</v>
      </c>
      <c r="H25" s="7" t="n">
        <v>60</v>
      </c>
      <c r="I25" s="8" t="n">
        <v>0.921</v>
      </c>
      <c r="J25" s="7" t="n">
        <v>65</v>
      </c>
      <c r="K25" s="7" t="n">
        <v>35</v>
      </c>
      <c r="L25" s="8" t="n">
        <v>1</v>
      </c>
      <c r="M25" s="7" t="n">
        <v>35</v>
      </c>
      <c r="N25" s="7" t="n">
        <v>35</v>
      </c>
      <c r="O25" s="8" t="n">
        <v>0.714</v>
      </c>
      <c r="P25" s="7" t="n">
        <v>50</v>
      </c>
      <c r="Q25" s="7" t="n">
        <v>20</v>
      </c>
      <c r="R25" s="8" t="n">
        <v>0.952</v>
      </c>
      <c r="S25" s="7" t="n">
        <v>20</v>
      </c>
    </row>
    <row r="26" customFormat="false" ht="15" hidden="false" customHeight="false" outlineLevel="0" collapsed="false">
      <c r="A26" s="1" t="s">
        <v>36</v>
      </c>
      <c r="B26" s="7" t="n">
        <v>30</v>
      </c>
      <c r="C26" s="8" t="n">
        <v>0.838</v>
      </c>
      <c r="D26" s="7" t="n">
        <v>35</v>
      </c>
      <c r="E26" s="7" t="n">
        <v>25</v>
      </c>
      <c r="F26" s="8" t="n">
        <v>0.92</v>
      </c>
      <c r="G26" s="7" t="n">
        <v>25</v>
      </c>
      <c r="H26" s="7" t="n">
        <v>20</v>
      </c>
      <c r="I26" s="8" t="n">
        <v>0.656</v>
      </c>
      <c r="J26" s="7" t="n">
        <v>30</v>
      </c>
      <c r="K26" s="7" t="n">
        <v>25</v>
      </c>
      <c r="L26" s="8" t="n">
        <v>0.964</v>
      </c>
      <c r="M26" s="7" t="n">
        <v>30</v>
      </c>
      <c r="N26" s="7" t="n">
        <v>15</v>
      </c>
      <c r="O26" s="8" t="n">
        <v>1</v>
      </c>
      <c r="P26" s="7" t="n">
        <v>15</v>
      </c>
      <c r="Q26" s="7" t="n">
        <v>10</v>
      </c>
      <c r="R26" s="8" t="n">
        <v>1</v>
      </c>
      <c r="S26" s="7" t="n">
        <v>10</v>
      </c>
    </row>
    <row r="27" customFormat="false" ht="15" hidden="false" customHeight="false" outlineLevel="0" collapsed="false">
      <c r="A27" s="1" t="s">
        <v>64</v>
      </c>
      <c r="B27" s="7" t="n">
        <v>3995</v>
      </c>
      <c r="C27" s="8" t="n">
        <v>0.875</v>
      </c>
      <c r="D27" s="7" t="n">
        <v>4565</v>
      </c>
      <c r="E27" s="7" t="n">
        <v>3985</v>
      </c>
      <c r="F27" s="8" t="n">
        <v>0.886</v>
      </c>
      <c r="G27" s="7" t="n">
        <v>4500</v>
      </c>
      <c r="H27" s="7" t="n">
        <v>3460</v>
      </c>
      <c r="I27" s="8" t="n">
        <v>0.872</v>
      </c>
      <c r="J27" s="7" t="n">
        <v>3970</v>
      </c>
      <c r="K27" s="7" t="n">
        <v>2735</v>
      </c>
      <c r="L27" s="8" t="n">
        <v>0.848</v>
      </c>
      <c r="M27" s="7" t="n">
        <v>3225</v>
      </c>
      <c r="N27" s="7" t="n">
        <v>3175</v>
      </c>
      <c r="O27" s="8" t="n">
        <v>0.926</v>
      </c>
      <c r="P27" s="7" t="n">
        <v>3425</v>
      </c>
      <c r="Q27" s="7" t="n">
        <v>2945</v>
      </c>
      <c r="R27" s="8" t="n">
        <v>0.891</v>
      </c>
      <c r="S27" s="7" t="n">
        <v>3310</v>
      </c>
    </row>
    <row r="28" customFormat="false" ht="15" hidden="false" customHeight="false" outlineLevel="0" collapsed="false">
      <c r="A28" s="1" t="s">
        <v>37</v>
      </c>
      <c r="B28" s="7" t="n">
        <v>515</v>
      </c>
      <c r="C28" s="8" t="n">
        <v>0.851</v>
      </c>
      <c r="D28" s="7" t="n">
        <v>605</v>
      </c>
      <c r="E28" s="7" t="n">
        <v>525</v>
      </c>
      <c r="F28" s="8" t="n">
        <v>0.923</v>
      </c>
      <c r="G28" s="7" t="n">
        <v>570</v>
      </c>
      <c r="H28" s="7" t="n">
        <v>580</v>
      </c>
      <c r="I28" s="8" t="n">
        <v>0.925</v>
      </c>
      <c r="J28" s="7" t="n">
        <v>625</v>
      </c>
      <c r="K28" s="7" t="n">
        <v>395</v>
      </c>
      <c r="L28" s="8" t="n">
        <v>0.896</v>
      </c>
      <c r="M28" s="7" t="n">
        <v>440</v>
      </c>
      <c r="N28" s="7" t="n">
        <v>520</v>
      </c>
      <c r="O28" s="8" t="n">
        <v>0.945</v>
      </c>
      <c r="P28" s="7" t="n">
        <v>550</v>
      </c>
      <c r="Q28" s="7" t="n">
        <v>445</v>
      </c>
      <c r="R28" s="8" t="n">
        <v>0.957</v>
      </c>
      <c r="S28" s="7" t="n">
        <v>465</v>
      </c>
    </row>
    <row r="29" customFormat="false" ht="15" hidden="false" customHeight="false" outlineLevel="0" collapsed="false">
      <c r="A29" s="1" t="s">
        <v>86</v>
      </c>
      <c r="B29" s="7" t="n">
        <v>0</v>
      </c>
      <c r="C29" s="8" t="n">
        <v>0</v>
      </c>
      <c r="D29" s="7" t="n">
        <v>10</v>
      </c>
      <c r="E29" s="7" t="s">
        <v>35</v>
      </c>
      <c r="F29" s="8" t="s">
        <v>35</v>
      </c>
      <c r="G29" s="7" t="n">
        <v>0</v>
      </c>
      <c r="H29" s="7" t="s">
        <v>35</v>
      </c>
      <c r="I29" s="8" t="s">
        <v>35</v>
      </c>
      <c r="J29" s="7" t="n">
        <v>0</v>
      </c>
      <c r="K29" s="7" t="s">
        <v>35</v>
      </c>
      <c r="L29" s="8" t="s">
        <v>35</v>
      </c>
      <c r="M29" s="7" t="n">
        <v>0</v>
      </c>
      <c r="N29" s="7" t="s">
        <v>35</v>
      </c>
      <c r="O29" s="8" t="s">
        <v>35</v>
      </c>
      <c r="P29" s="7" t="n">
        <v>0</v>
      </c>
      <c r="Q29" s="7" t="s">
        <v>35</v>
      </c>
      <c r="R29" s="8" t="s">
        <v>35</v>
      </c>
      <c r="S29" s="7" t="n">
        <v>0</v>
      </c>
    </row>
    <row r="30" customFormat="false" ht="15" hidden="false" customHeight="false" outlineLevel="0" collapsed="false">
      <c r="A30" s="1" t="s">
        <v>87</v>
      </c>
      <c r="B30" s="7" t="n">
        <v>1090</v>
      </c>
      <c r="C30" s="8" t="n">
        <v>0.854</v>
      </c>
      <c r="D30" s="7" t="n">
        <v>1275</v>
      </c>
      <c r="E30" s="7" t="n">
        <v>1225</v>
      </c>
      <c r="F30" s="8" t="n">
        <v>0.853</v>
      </c>
      <c r="G30" s="7" t="n">
        <v>1440</v>
      </c>
      <c r="H30" s="7" t="n">
        <v>1215</v>
      </c>
      <c r="I30" s="8" t="n">
        <v>0.876</v>
      </c>
      <c r="J30" s="7" t="n">
        <v>1385</v>
      </c>
      <c r="K30" s="7" t="n">
        <v>1005</v>
      </c>
      <c r="L30" s="8" t="n">
        <v>0.909</v>
      </c>
      <c r="M30" s="7" t="n">
        <v>1105</v>
      </c>
      <c r="N30" s="7" t="n">
        <v>1040</v>
      </c>
      <c r="O30" s="8" t="n">
        <v>0.895</v>
      </c>
      <c r="P30" s="7" t="n">
        <v>1165</v>
      </c>
      <c r="Q30" s="7" t="n">
        <v>1035</v>
      </c>
      <c r="R30" s="8" t="n">
        <v>0.851</v>
      </c>
      <c r="S30" s="7" t="n">
        <v>1215</v>
      </c>
    </row>
    <row r="31" customFormat="false" ht="15" hidden="false" customHeight="false" outlineLevel="0" collapsed="false">
      <c r="A31" s="1" t="s">
        <v>65</v>
      </c>
      <c r="B31" s="7" t="n">
        <v>455</v>
      </c>
      <c r="C31" s="8" t="n">
        <v>0.804</v>
      </c>
      <c r="D31" s="7" t="n">
        <v>565</v>
      </c>
      <c r="E31" s="7" t="n">
        <v>595</v>
      </c>
      <c r="F31" s="8" t="n">
        <v>0.816</v>
      </c>
      <c r="G31" s="7" t="n">
        <v>730</v>
      </c>
      <c r="H31" s="7" t="n">
        <v>635</v>
      </c>
      <c r="I31" s="8" t="n">
        <v>0.846</v>
      </c>
      <c r="J31" s="7" t="n">
        <v>750</v>
      </c>
      <c r="K31" s="7" t="n">
        <v>535</v>
      </c>
      <c r="L31" s="8" t="n">
        <v>0.84</v>
      </c>
      <c r="M31" s="7" t="n">
        <v>640</v>
      </c>
      <c r="N31" s="7" t="n">
        <v>600</v>
      </c>
      <c r="O31" s="8" t="n">
        <v>0.938</v>
      </c>
      <c r="P31" s="7" t="n">
        <v>640</v>
      </c>
      <c r="Q31" s="7" t="n">
        <v>450</v>
      </c>
      <c r="R31" s="8" t="n">
        <v>0.869</v>
      </c>
      <c r="S31" s="7" t="n">
        <v>520</v>
      </c>
    </row>
    <row r="32" customFormat="false" ht="15" hidden="false" customHeight="false" outlineLevel="0" collapsed="false">
      <c r="A32" s="1" t="s">
        <v>66</v>
      </c>
      <c r="B32" s="7" t="n">
        <v>7795</v>
      </c>
      <c r="C32" s="8" t="n">
        <v>0.868</v>
      </c>
      <c r="D32" s="7" t="n">
        <v>8980</v>
      </c>
      <c r="E32" s="7" t="n">
        <v>8015</v>
      </c>
      <c r="F32" s="8" t="n">
        <v>0.908</v>
      </c>
      <c r="G32" s="7" t="n">
        <v>8825</v>
      </c>
      <c r="H32" s="7" t="n">
        <v>6895</v>
      </c>
      <c r="I32" s="8" t="n">
        <v>0.882</v>
      </c>
      <c r="J32" s="7" t="n">
        <v>7815</v>
      </c>
      <c r="K32" s="7" t="n">
        <v>5430</v>
      </c>
      <c r="L32" s="8" t="n">
        <v>0.879</v>
      </c>
      <c r="M32" s="7" t="n">
        <v>6175</v>
      </c>
      <c r="N32" s="7" t="n">
        <v>5335</v>
      </c>
      <c r="O32" s="8" t="n">
        <v>0.921</v>
      </c>
      <c r="P32" s="7" t="n">
        <v>5795</v>
      </c>
      <c r="Q32" s="7" t="n">
        <v>5275</v>
      </c>
      <c r="R32" s="8" t="n">
        <v>0.908</v>
      </c>
      <c r="S32" s="7" t="n">
        <v>5810</v>
      </c>
    </row>
    <row r="33" customFormat="false" ht="15" hidden="false" customHeight="false" outlineLevel="0" collapsed="false">
      <c r="A33" s="1" t="s">
        <v>39</v>
      </c>
      <c r="B33" s="7" t="n">
        <v>115</v>
      </c>
      <c r="C33" s="8" t="n">
        <v>0.934</v>
      </c>
      <c r="D33" s="7" t="n">
        <v>120</v>
      </c>
      <c r="E33" s="7" t="n">
        <v>35</v>
      </c>
      <c r="F33" s="8" t="n">
        <v>0.822</v>
      </c>
      <c r="G33" s="7" t="n">
        <v>45</v>
      </c>
      <c r="H33" s="7" t="n">
        <v>115</v>
      </c>
      <c r="I33" s="8" t="n">
        <v>0.95</v>
      </c>
      <c r="J33" s="7" t="n">
        <v>120</v>
      </c>
      <c r="K33" s="7" t="n">
        <v>45</v>
      </c>
      <c r="L33" s="8" t="n">
        <v>0.746</v>
      </c>
      <c r="M33" s="7" t="n">
        <v>60</v>
      </c>
      <c r="N33" s="7" t="n">
        <v>110</v>
      </c>
      <c r="O33" s="8" t="n">
        <v>0.973</v>
      </c>
      <c r="P33" s="7" t="n">
        <v>110</v>
      </c>
      <c r="Q33" s="7" t="n">
        <v>35</v>
      </c>
      <c r="R33" s="8" t="n">
        <v>0.783</v>
      </c>
      <c r="S33" s="7" t="n">
        <v>45</v>
      </c>
    </row>
    <row r="34" customFormat="false" ht="15" hidden="false" customHeight="false" outlineLevel="0" collapsed="false">
      <c r="A34" s="1" t="s">
        <v>67</v>
      </c>
      <c r="B34" s="7" t="s">
        <v>33</v>
      </c>
      <c r="C34" s="8" t="s">
        <v>33</v>
      </c>
      <c r="D34" s="7" t="s">
        <v>33</v>
      </c>
      <c r="E34" s="7" t="n">
        <v>5</v>
      </c>
      <c r="F34" s="8" t="n">
        <v>1</v>
      </c>
      <c r="G34" s="7" t="n">
        <v>5</v>
      </c>
      <c r="H34" s="7" t="n">
        <v>10</v>
      </c>
      <c r="I34" s="8" t="n">
        <v>1</v>
      </c>
      <c r="J34" s="7" t="n">
        <v>10</v>
      </c>
      <c r="K34" s="7" t="n">
        <v>5</v>
      </c>
      <c r="L34" s="8" t="n">
        <v>1</v>
      </c>
      <c r="M34" s="7" t="n">
        <v>5</v>
      </c>
      <c r="N34" s="7" t="n">
        <v>5</v>
      </c>
      <c r="O34" s="8" t="n">
        <v>0.429</v>
      </c>
      <c r="P34" s="7" t="n">
        <v>15</v>
      </c>
      <c r="Q34" s="7" t="s">
        <v>33</v>
      </c>
      <c r="R34" s="8" t="s">
        <v>33</v>
      </c>
      <c r="S34" s="7" t="s">
        <v>33</v>
      </c>
    </row>
    <row r="35" customFormat="false" ht="15" hidden="false" customHeight="false" outlineLevel="0" collapsed="false">
      <c r="A35" s="1" t="s">
        <v>68</v>
      </c>
      <c r="B35" s="7" t="n">
        <v>45</v>
      </c>
      <c r="C35" s="8" t="n">
        <v>0.863</v>
      </c>
      <c r="D35" s="7" t="n">
        <v>50</v>
      </c>
      <c r="E35" s="7" t="n">
        <v>40</v>
      </c>
      <c r="F35" s="8" t="n">
        <v>0.913</v>
      </c>
      <c r="G35" s="7" t="n">
        <v>45</v>
      </c>
      <c r="H35" s="7" t="n">
        <v>30</v>
      </c>
      <c r="I35" s="8" t="n">
        <v>0.806</v>
      </c>
      <c r="J35" s="7" t="n">
        <v>35</v>
      </c>
      <c r="K35" s="7" t="n">
        <v>25</v>
      </c>
      <c r="L35" s="8" t="n">
        <v>1</v>
      </c>
      <c r="M35" s="7" t="n">
        <v>25</v>
      </c>
      <c r="N35" s="7" t="n">
        <v>25</v>
      </c>
      <c r="O35" s="8" t="n">
        <v>0.92</v>
      </c>
      <c r="P35" s="7" t="n">
        <v>25</v>
      </c>
      <c r="Q35" s="7" t="n">
        <v>30</v>
      </c>
      <c r="R35" s="8" t="n">
        <v>0.909</v>
      </c>
      <c r="S35" s="7" t="n">
        <v>35</v>
      </c>
    </row>
    <row r="36" customFormat="false" ht="15" hidden="false" customHeight="false" outlineLevel="0" collapsed="false">
      <c r="A36" s="1" t="s">
        <v>88</v>
      </c>
      <c r="B36" s="7" t="n">
        <v>25</v>
      </c>
      <c r="C36" s="8" t="n">
        <v>0.657</v>
      </c>
      <c r="D36" s="7" t="n">
        <v>35</v>
      </c>
      <c r="E36" s="7" t="n">
        <v>10</v>
      </c>
      <c r="F36" s="8" t="n">
        <v>1</v>
      </c>
      <c r="G36" s="7" t="n">
        <v>10</v>
      </c>
      <c r="H36" s="7" t="n">
        <v>15</v>
      </c>
      <c r="I36" s="8" t="n">
        <v>1</v>
      </c>
      <c r="J36" s="7" t="n">
        <v>15</v>
      </c>
      <c r="K36" s="7" t="n">
        <v>25</v>
      </c>
      <c r="L36" s="8" t="n">
        <v>1</v>
      </c>
      <c r="M36" s="7" t="n">
        <v>25</v>
      </c>
      <c r="N36" s="7" t="n">
        <v>10</v>
      </c>
      <c r="O36" s="8" t="n">
        <v>1</v>
      </c>
      <c r="P36" s="7" t="n">
        <v>10</v>
      </c>
      <c r="Q36" s="7" t="n">
        <v>15</v>
      </c>
      <c r="R36" s="8" t="n">
        <v>1</v>
      </c>
      <c r="S36" s="7" t="n">
        <v>15</v>
      </c>
    </row>
    <row r="37" customFormat="false" ht="15" hidden="false" customHeight="false" outlineLevel="0" collapsed="false">
      <c r="A37" s="1" t="s">
        <v>89</v>
      </c>
      <c r="B37" s="7" t="n">
        <v>15795</v>
      </c>
      <c r="C37" s="8" t="n">
        <v>0.861</v>
      </c>
      <c r="D37" s="7" t="n">
        <v>18340</v>
      </c>
      <c r="E37" s="7" t="n">
        <v>20000</v>
      </c>
      <c r="F37" s="8" t="n">
        <v>0.901</v>
      </c>
      <c r="G37" s="7" t="n">
        <v>22205</v>
      </c>
      <c r="H37" s="7" t="n">
        <v>19035</v>
      </c>
      <c r="I37" s="8" t="n">
        <v>0.884</v>
      </c>
      <c r="J37" s="7" t="n">
        <v>21535</v>
      </c>
      <c r="K37" s="7" t="n">
        <v>16825</v>
      </c>
      <c r="L37" s="8" t="n">
        <v>0.844</v>
      </c>
      <c r="M37" s="7" t="n">
        <v>19945</v>
      </c>
      <c r="N37" s="7" t="n">
        <v>18280</v>
      </c>
      <c r="O37" s="8" t="n">
        <v>0.905</v>
      </c>
      <c r="P37" s="7" t="n">
        <v>20200</v>
      </c>
      <c r="Q37" s="7" t="n">
        <v>20435</v>
      </c>
      <c r="R37" s="8" t="n">
        <v>0.89</v>
      </c>
      <c r="S37" s="7" t="n">
        <v>22965</v>
      </c>
    </row>
    <row r="38" customFormat="false" ht="15" hidden="false" customHeight="false" outlineLevel="0" collapsed="false">
      <c r="A38" s="1" t="s">
        <v>69</v>
      </c>
      <c r="B38" s="7" t="n">
        <v>925</v>
      </c>
      <c r="C38" s="8" t="n">
        <v>0.807</v>
      </c>
      <c r="D38" s="7" t="n">
        <v>1150</v>
      </c>
      <c r="E38" s="7" t="n">
        <v>1215</v>
      </c>
      <c r="F38" s="8" t="n">
        <v>0.811</v>
      </c>
      <c r="G38" s="7" t="n">
        <v>1495</v>
      </c>
      <c r="H38" s="7" t="n">
        <v>930</v>
      </c>
      <c r="I38" s="8" t="n">
        <v>0.762</v>
      </c>
      <c r="J38" s="7" t="n">
        <v>1225</v>
      </c>
      <c r="K38" s="7" t="n">
        <v>750</v>
      </c>
      <c r="L38" s="8" t="n">
        <v>0.814</v>
      </c>
      <c r="M38" s="7" t="n">
        <v>920</v>
      </c>
      <c r="N38" s="7" t="n">
        <v>790</v>
      </c>
      <c r="O38" s="8" t="n">
        <v>0.914</v>
      </c>
      <c r="P38" s="7" t="n">
        <v>860</v>
      </c>
      <c r="Q38" s="7" t="n">
        <v>770</v>
      </c>
      <c r="R38" s="8" t="n">
        <v>0.854</v>
      </c>
      <c r="S38" s="7" t="n">
        <v>900</v>
      </c>
    </row>
    <row r="39" customFormat="false" ht="15" hidden="false" customHeight="false" outlineLevel="0" collapsed="false">
      <c r="A39" s="1" t="s">
        <v>70</v>
      </c>
      <c r="B39" s="7" t="n">
        <v>4855</v>
      </c>
      <c r="C39" s="8" t="n">
        <v>0.859</v>
      </c>
      <c r="D39" s="7" t="n">
        <v>5650</v>
      </c>
      <c r="E39" s="7" t="n">
        <v>5375</v>
      </c>
      <c r="F39" s="8" t="n">
        <v>0.902</v>
      </c>
      <c r="G39" s="7" t="n">
        <v>5960</v>
      </c>
      <c r="H39" s="7" t="n">
        <v>4415</v>
      </c>
      <c r="I39" s="8" t="n">
        <v>0.876</v>
      </c>
      <c r="J39" s="7" t="n">
        <v>5035</v>
      </c>
      <c r="K39" s="7" t="n">
        <v>3420</v>
      </c>
      <c r="L39" s="8" t="n">
        <v>0.861</v>
      </c>
      <c r="M39" s="7" t="n">
        <v>3970</v>
      </c>
      <c r="N39" s="7" t="n">
        <v>4050</v>
      </c>
      <c r="O39" s="8" t="n">
        <v>0.931</v>
      </c>
      <c r="P39" s="7" t="n">
        <v>4350</v>
      </c>
      <c r="Q39" s="7" t="n">
        <v>3845</v>
      </c>
      <c r="R39" s="8" t="n">
        <v>0.911</v>
      </c>
      <c r="S39" s="7" t="n">
        <v>4220</v>
      </c>
    </row>
    <row r="40" customFormat="false" ht="15" hidden="false" customHeight="false" outlineLevel="0" collapsed="false">
      <c r="A40" s="1" t="s">
        <v>71</v>
      </c>
      <c r="B40" s="7" t="n">
        <v>975</v>
      </c>
      <c r="C40" s="8" t="n">
        <v>0.672</v>
      </c>
      <c r="D40" s="7" t="n">
        <v>1455</v>
      </c>
      <c r="E40" s="7" t="n">
        <v>1005</v>
      </c>
      <c r="F40" s="8" t="n">
        <v>0.736</v>
      </c>
      <c r="G40" s="7" t="n">
        <v>1370</v>
      </c>
      <c r="H40" s="7" t="n">
        <v>990</v>
      </c>
      <c r="I40" s="8" t="n">
        <v>0.766</v>
      </c>
      <c r="J40" s="7" t="n">
        <v>1290</v>
      </c>
      <c r="K40" s="7" t="n">
        <v>740</v>
      </c>
      <c r="L40" s="8" t="n">
        <v>0.792</v>
      </c>
      <c r="M40" s="7" t="n">
        <v>935</v>
      </c>
      <c r="N40" s="7" t="n">
        <v>1065</v>
      </c>
      <c r="O40" s="8" t="n">
        <v>0.837</v>
      </c>
      <c r="P40" s="7" t="n">
        <v>1270</v>
      </c>
      <c r="Q40" s="7" t="n">
        <v>950</v>
      </c>
      <c r="R40" s="8" t="n">
        <v>0.767</v>
      </c>
      <c r="S40" s="7" t="n">
        <v>1240</v>
      </c>
    </row>
    <row r="41" customFormat="false" ht="15" hidden="false" customHeight="false" outlineLevel="0" collapsed="false">
      <c r="A41" s="1" t="s">
        <v>72</v>
      </c>
      <c r="B41" s="7" t="n">
        <v>335</v>
      </c>
      <c r="C41" s="8" t="n">
        <v>0.76</v>
      </c>
      <c r="D41" s="7" t="n">
        <v>440</v>
      </c>
      <c r="E41" s="7" t="n">
        <v>265</v>
      </c>
      <c r="F41" s="8" t="n">
        <v>0.791</v>
      </c>
      <c r="G41" s="7" t="n">
        <v>335</v>
      </c>
      <c r="H41" s="7" t="n">
        <v>235</v>
      </c>
      <c r="I41" s="8" t="n">
        <v>0.691</v>
      </c>
      <c r="J41" s="7" t="n">
        <v>335</v>
      </c>
      <c r="K41" s="7" t="n">
        <v>165</v>
      </c>
      <c r="L41" s="8" t="n">
        <v>0.86</v>
      </c>
      <c r="M41" s="7" t="n">
        <v>195</v>
      </c>
      <c r="N41" s="7" t="n">
        <v>275</v>
      </c>
      <c r="O41" s="8" t="n">
        <v>0.851</v>
      </c>
      <c r="P41" s="7" t="n">
        <v>320</v>
      </c>
      <c r="Q41" s="7" t="n">
        <v>200</v>
      </c>
      <c r="R41" s="8" t="n">
        <v>0.774</v>
      </c>
      <c r="S41" s="7" t="n">
        <v>260</v>
      </c>
    </row>
    <row r="42" customFormat="false" ht="15" hidden="false" customHeight="false" outlineLevel="0" collapsed="false">
      <c r="A42" s="12" t="s">
        <v>90</v>
      </c>
      <c r="B42" s="7" t="s">
        <v>33</v>
      </c>
      <c r="C42" s="8" t="s">
        <v>33</v>
      </c>
      <c r="D42" s="7" t="s">
        <v>33</v>
      </c>
      <c r="E42" s="7" t="s">
        <v>33</v>
      </c>
      <c r="F42" s="8" t="s">
        <v>33</v>
      </c>
      <c r="G42" s="7" t="s">
        <v>33</v>
      </c>
      <c r="H42" s="7" t="n">
        <v>0</v>
      </c>
      <c r="I42" s="8" t="n">
        <v>0</v>
      </c>
      <c r="J42" s="7" t="s">
        <v>33</v>
      </c>
      <c r="K42" s="7" t="n">
        <v>5</v>
      </c>
      <c r="L42" s="8" t="n">
        <v>1</v>
      </c>
      <c r="M42" s="7" t="n">
        <v>5</v>
      </c>
      <c r="N42" s="7" t="s">
        <v>33</v>
      </c>
      <c r="O42" s="8" t="s">
        <v>33</v>
      </c>
      <c r="P42" s="7" t="s">
        <v>33</v>
      </c>
      <c r="Q42" s="7" t="s">
        <v>35</v>
      </c>
      <c r="R42" s="8" t="s">
        <v>35</v>
      </c>
      <c r="S42" s="7" t="n">
        <v>0</v>
      </c>
    </row>
    <row r="43" customFormat="false" ht="15" hidden="false" customHeight="false" outlineLevel="0" collapsed="false">
      <c r="A43" s="1" t="s">
        <v>73</v>
      </c>
      <c r="B43" s="7" t="n">
        <v>690</v>
      </c>
      <c r="C43" s="8" t="n">
        <v>0.725</v>
      </c>
      <c r="D43" s="7" t="n">
        <v>950</v>
      </c>
      <c r="E43" s="7" t="n">
        <v>550</v>
      </c>
      <c r="F43" s="8" t="n">
        <v>0.735</v>
      </c>
      <c r="G43" s="7" t="n">
        <v>750</v>
      </c>
      <c r="H43" s="7" t="n">
        <v>430</v>
      </c>
      <c r="I43" s="8" t="n">
        <v>0.704</v>
      </c>
      <c r="J43" s="7" t="n">
        <v>615</v>
      </c>
      <c r="K43" s="7" t="n">
        <v>390</v>
      </c>
      <c r="L43" s="8" t="n">
        <v>0.845</v>
      </c>
      <c r="M43" s="7" t="n">
        <v>465</v>
      </c>
      <c r="N43" s="7" t="n">
        <v>310</v>
      </c>
      <c r="O43" s="8" t="n">
        <v>0.89</v>
      </c>
      <c r="P43" s="7" t="n">
        <v>345</v>
      </c>
      <c r="Q43" s="7" t="n">
        <v>400</v>
      </c>
      <c r="R43" s="8" t="n">
        <v>0.841</v>
      </c>
      <c r="S43" s="7" t="n">
        <v>480</v>
      </c>
    </row>
    <row r="44" customFormat="false" ht="15" hidden="false" customHeight="false" outlineLevel="0" collapsed="false">
      <c r="A44" s="1" t="s">
        <v>43</v>
      </c>
      <c r="B44" s="7" t="n">
        <v>3390</v>
      </c>
      <c r="C44" s="8" t="n">
        <v>0.853</v>
      </c>
      <c r="D44" s="7" t="n">
        <v>3970</v>
      </c>
      <c r="E44" s="7" t="n">
        <v>3335</v>
      </c>
      <c r="F44" s="8" t="n">
        <v>0.83</v>
      </c>
      <c r="G44" s="7" t="n">
        <v>4020</v>
      </c>
      <c r="H44" s="7" t="n">
        <v>3130</v>
      </c>
      <c r="I44" s="8" t="n">
        <v>0.863</v>
      </c>
      <c r="J44" s="7" t="n">
        <v>3630</v>
      </c>
      <c r="K44" s="7" t="n">
        <v>3010</v>
      </c>
      <c r="L44" s="8" t="n">
        <v>0.896</v>
      </c>
      <c r="M44" s="7" t="n">
        <v>3360</v>
      </c>
      <c r="N44" s="7" t="n">
        <v>3530</v>
      </c>
      <c r="O44" s="8" t="n">
        <v>0.933</v>
      </c>
      <c r="P44" s="7" t="n">
        <v>3785</v>
      </c>
      <c r="Q44" s="7" t="n">
        <v>3480</v>
      </c>
      <c r="R44" s="8" t="n">
        <v>0.885</v>
      </c>
      <c r="S44" s="7" t="n">
        <v>3935</v>
      </c>
    </row>
    <row r="45" customFormat="false" ht="15" hidden="false" customHeight="false" outlineLevel="0" collapsed="false">
      <c r="A45" s="1" t="s">
        <v>74</v>
      </c>
      <c r="B45" s="7" t="n">
        <v>3330</v>
      </c>
      <c r="C45" s="8" t="n">
        <v>0.865</v>
      </c>
      <c r="D45" s="7" t="n">
        <v>3845</v>
      </c>
      <c r="E45" s="7" t="n">
        <v>3830</v>
      </c>
      <c r="F45" s="8" t="n">
        <v>0.909</v>
      </c>
      <c r="G45" s="7" t="n">
        <v>4215</v>
      </c>
      <c r="H45" s="7" t="n">
        <v>3650</v>
      </c>
      <c r="I45" s="8" t="n">
        <v>0.877</v>
      </c>
      <c r="J45" s="7" t="n">
        <v>4165</v>
      </c>
      <c r="K45" s="7" t="n">
        <v>3035</v>
      </c>
      <c r="L45" s="8" t="n">
        <v>0.863</v>
      </c>
      <c r="M45" s="7" t="n">
        <v>3515</v>
      </c>
      <c r="N45" s="7" t="n">
        <v>3305</v>
      </c>
      <c r="O45" s="8" t="n">
        <v>0.931</v>
      </c>
      <c r="P45" s="7" t="n">
        <v>3555</v>
      </c>
      <c r="Q45" s="7" t="n">
        <v>3215</v>
      </c>
      <c r="R45" s="8" t="n">
        <v>0.921</v>
      </c>
      <c r="S45" s="7" t="n">
        <v>3485</v>
      </c>
    </row>
    <row r="46" customFormat="false" ht="15" hidden="false" customHeight="false" outlineLevel="0" collapsed="false">
      <c r="A46" s="1" t="s">
        <v>75</v>
      </c>
      <c r="B46" s="7" t="n">
        <v>3560</v>
      </c>
      <c r="C46" s="8" t="n">
        <v>0.83</v>
      </c>
      <c r="D46" s="7" t="n">
        <v>4285</v>
      </c>
      <c r="E46" s="7" t="n">
        <v>3795</v>
      </c>
      <c r="F46" s="8" t="n">
        <v>0.88</v>
      </c>
      <c r="G46" s="7" t="n">
        <v>4315</v>
      </c>
      <c r="H46" s="7" t="n">
        <v>3400</v>
      </c>
      <c r="I46" s="8" t="n">
        <v>0.883</v>
      </c>
      <c r="J46" s="7" t="n">
        <v>3850</v>
      </c>
      <c r="K46" s="7" t="n">
        <v>3085</v>
      </c>
      <c r="L46" s="8" t="n">
        <v>0.875</v>
      </c>
      <c r="M46" s="7" t="n">
        <v>3525</v>
      </c>
      <c r="N46" s="7" t="n">
        <v>3185</v>
      </c>
      <c r="O46" s="8" t="n">
        <v>0.907</v>
      </c>
      <c r="P46" s="7" t="n">
        <v>3515</v>
      </c>
      <c r="Q46" s="7" t="n">
        <v>3445</v>
      </c>
      <c r="R46" s="8" t="n">
        <v>0.911</v>
      </c>
      <c r="S46" s="7" t="n">
        <v>3780</v>
      </c>
    </row>
    <row r="47" customFormat="false" ht="15" hidden="false" customHeight="false" outlineLevel="0" collapsed="false">
      <c r="A47" s="1" t="s">
        <v>91</v>
      </c>
      <c r="B47" s="7" t="n">
        <v>70</v>
      </c>
      <c r="C47" s="8" t="n">
        <v>0.453</v>
      </c>
      <c r="D47" s="7" t="n">
        <v>160</v>
      </c>
      <c r="E47" s="7" t="n">
        <v>150</v>
      </c>
      <c r="F47" s="8" t="n">
        <v>0.749</v>
      </c>
      <c r="G47" s="7" t="n">
        <v>205</v>
      </c>
      <c r="H47" s="7" t="n">
        <v>125</v>
      </c>
      <c r="I47" s="8" t="n">
        <v>0.695</v>
      </c>
      <c r="J47" s="7" t="n">
        <v>175</v>
      </c>
      <c r="K47" s="7" t="n">
        <v>145</v>
      </c>
      <c r="L47" s="8" t="n">
        <v>0.766</v>
      </c>
      <c r="M47" s="7" t="n">
        <v>190</v>
      </c>
      <c r="N47" s="7" t="n">
        <v>170</v>
      </c>
      <c r="O47" s="8" t="n">
        <v>0.787</v>
      </c>
      <c r="P47" s="7" t="n">
        <v>215</v>
      </c>
      <c r="Q47" s="7" t="n">
        <v>115</v>
      </c>
      <c r="R47" s="8" t="n">
        <v>0.535</v>
      </c>
      <c r="S47" s="7" t="n">
        <v>215</v>
      </c>
    </row>
    <row r="48" customFormat="false" ht="15" hidden="false" customHeight="false" outlineLevel="0" collapsed="false">
      <c r="A48" s="1" t="s">
        <v>92</v>
      </c>
      <c r="B48" s="7" t="n">
        <v>105</v>
      </c>
      <c r="C48" s="8" t="n">
        <v>0.665</v>
      </c>
      <c r="D48" s="7" t="n">
        <v>155</v>
      </c>
      <c r="E48" s="7" t="n">
        <v>185</v>
      </c>
      <c r="F48" s="8" t="n">
        <v>0.799</v>
      </c>
      <c r="G48" s="7" t="n">
        <v>230</v>
      </c>
      <c r="H48" s="7" t="n">
        <v>105</v>
      </c>
      <c r="I48" s="8" t="n">
        <v>0.599</v>
      </c>
      <c r="J48" s="7" t="n">
        <v>175</v>
      </c>
      <c r="K48" s="7" t="n">
        <v>140</v>
      </c>
      <c r="L48" s="8" t="n">
        <v>0.792</v>
      </c>
      <c r="M48" s="7" t="n">
        <v>180</v>
      </c>
      <c r="N48" s="7" t="n">
        <v>115</v>
      </c>
      <c r="O48" s="8" t="n">
        <v>0.693</v>
      </c>
      <c r="P48" s="7" t="n">
        <v>165</v>
      </c>
      <c r="Q48" s="7" t="n">
        <v>105</v>
      </c>
      <c r="R48" s="8" t="n">
        <v>0.732</v>
      </c>
      <c r="S48" s="7" t="n">
        <v>140</v>
      </c>
    </row>
    <row r="49" customFormat="false" ht="15" hidden="false" customHeight="false" outlineLevel="0" collapsed="false">
      <c r="A49" s="1" t="s">
        <v>93</v>
      </c>
      <c r="B49" s="7" t="n">
        <v>1030</v>
      </c>
      <c r="C49" s="8" t="n">
        <v>0.731</v>
      </c>
      <c r="D49" s="7" t="n">
        <v>1410</v>
      </c>
      <c r="E49" s="7" t="n">
        <v>1210</v>
      </c>
      <c r="F49" s="8" t="n">
        <v>0.761</v>
      </c>
      <c r="G49" s="7" t="n">
        <v>1590</v>
      </c>
      <c r="H49" s="7" t="n">
        <v>1210</v>
      </c>
      <c r="I49" s="8" t="n">
        <v>0.789</v>
      </c>
      <c r="J49" s="7" t="n">
        <v>1530</v>
      </c>
      <c r="K49" s="7" t="n">
        <v>1345</v>
      </c>
      <c r="L49" s="8" t="n">
        <v>0.854</v>
      </c>
      <c r="M49" s="7" t="n">
        <v>1575</v>
      </c>
      <c r="N49" s="7" t="n">
        <v>1240</v>
      </c>
      <c r="O49" s="8" t="n">
        <v>0.833</v>
      </c>
      <c r="P49" s="7" t="n">
        <v>1490</v>
      </c>
      <c r="Q49" s="7" t="n">
        <v>1190</v>
      </c>
      <c r="R49" s="8" t="n">
        <v>0.784</v>
      </c>
      <c r="S49" s="7" t="n">
        <v>1515</v>
      </c>
    </row>
    <row r="50" customFormat="false" ht="15" hidden="false" customHeight="false" outlineLevel="0" collapsed="false">
      <c r="A50" s="1" t="s">
        <v>76</v>
      </c>
      <c r="B50" s="7" t="n">
        <v>4925</v>
      </c>
      <c r="C50" s="8" t="n">
        <v>0.677</v>
      </c>
      <c r="D50" s="7" t="n">
        <v>7280</v>
      </c>
      <c r="E50" s="7" t="n">
        <v>4995</v>
      </c>
      <c r="F50" s="8" t="n">
        <v>0.779</v>
      </c>
      <c r="G50" s="7" t="n">
        <v>6415</v>
      </c>
      <c r="H50" s="7" t="n">
        <v>3865</v>
      </c>
      <c r="I50" s="8" t="n">
        <v>0.659</v>
      </c>
      <c r="J50" s="7" t="n">
        <v>5865</v>
      </c>
      <c r="K50" s="7" t="n">
        <v>3250</v>
      </c>
      <c r="L50" s="8" t="n">
        <v>0.77</v>
      </c>
      <c r="M50" s="7" t="n">
        <v>4225</v>
      </c>
      <c r="N50" s="7" t="n">
        <v>3215</v>
      </c>
      <c r="O50" s="8" t="n">
        <v>0.795</v>
      </c>
      <c r="P50" s="7" t="n">
        <v>4045</v>
      </c>
      <c r="Q50" s="7" t="n">
        <v>2550</v>
      </c>
      <c r="R50" s="8" t="n">
        <v>0.725</v>
      </c>
      <c r="S50" s="7" t="n">
        <v>3520</v>
      </c>
    </row>
    <row r="51" customFormat="false" ht="15" hidden="false" customHeight="false" outlineLevel="0" collapsed="false">
      <c r="A51" s="1" t="s">
        <v>77</v>
      </c>
      <c r="B51" s="7" t="n">
        <v>940</v>
      </c>
      <c r="C51" s="8" t="n">
        <v>0.854</v>
      </c>
      <c r="D51" s="7" t="n">
        <v>1100</v>
      </c>
      <c r="E51" s="7" t="n">
        <v>1195</v>
      </c>
      <c r="F51" s="8" t="n">
        <v>0.902</v>
      </c>
      <c r="G51" s="7" t="n">
        <v>1325</v>
      </c>
      <c r="H51" s="7" t="n">
        <v>825</v>
      </c>
      <c r="I51" s="8" t="n">
        <v>0.887</v>
      </c>
      <c r="J51" s="7" t="n">
        <v>930</v>
      </c>
      <c r="K51" s="7" t="n">
        <v>585</v>
      </c>
      <c r="L51" s="8" t="n">
        <v>0.82</v>
      </c>
      <c r="M51" s="7" t="n">
        <v>710</v>
      </c>
      <c r="N51" s="7" t="n">
        <v>575</v>
      </c>
      <c r="O51" s="8" t="n">
        <v>0.836</v>
      </c>
      <c r="P51" s="7" t="n">
        <v>685</v>
      </c>
      <c r="Q51" s="7" t="n">
        <v>480</v>
      </c>
      <c r="R51" s="8" t="n">
        <v>0.901</v>
      </c>
      <c r="S51" s="7" t="n">
        <v>535</v>
      </c>
    </row>
    <row r="52" customFormat="false" ht="15" hidden="false" customHeight="false" outlineLevel="0" collapsed="false">
      <c r="A52" s="1" t="s">
        <v>47</v>
      </c>
      <c r="B52" s="7" t="n">
        <v>2240</v>
      </c>
      <c r="C52" s="8" t="n">
        <v>0.866</v>
      </c>
      <c r="D52" s="7" t="n">
        <v>2590</v>
      </c>
      <c r="E52" s="7" t="n">
        <v>2300</v>
      </c>
      <c r="F52" s="8" t="n">
        <v>0.897</v>
      </c>
      <c r="G52" s="7" t="n">
        <v>2565</v>
      </c>
      <c r="H52" s="7" t="n">
        <v>1995</v>
      </c>
      <c r="I52" s="8" t="n">
        <v>0.85</v>
      </c>
      <c r="J52" s="7" t="n">
        <v>2345</v>
      </c>
      <c r="K52" s="7" t="n">
        <v>1730</v>
      </c>
      <c r="L52" s="8" t="n">
        <v>0.885</v>
      </c>
      <c r="M52" s="7" t="n">
        <v>1960</v>
      </c>
      <c r="N52" s="7" t="n">
        <v>1635</v>
      </c>
      <c r="O52" s="8" t="n">
        <v>0.964</v>
      </c>
      <c r="P52" s="7" t="n">
        <v>1695</v>
      </c>
      <c r="Q52" s="7" t="n">
        <v>1515</v>
      </c>
      <c r="R52" s="8" t="n">
        <v>0.93</v>
      </c>
      <c r="S52" s="7" t="n">
        <v>1630</v>
      </c>
    </row>
    <row r="53" customFormat="false" ht="15" hidden="false" customHeight="false" outlineLevel="0" collapsed="false">
      <c r="A53" s="1" t="s">
        <v>78</v>
      </c>
      <c r="B53" s="7" t="n">
        <v>25</v>
      </c>
      <c r="C53" s="8" t="n">
        <v>1</v>
      </c>
      <c r="D53" s="7" t="n">
        <v>25</v>
      </c>
      <c r="E53" s="7" t="n">
        <v>25</v>
      </c>
      <c r="F53" s="8" t="n">
        <v>1</v>
      </c>
      <c r="G53" s="7" t="n">
        <v>25</v>
      </c>
      <c r="H53" s="7" t="n">
        <v>35</v>
      </c>
      <c r="I53" s="8" t="n">
        <v>1</v>
      </c>
      <c r="J53" s="7" t="n">
        <v>35</v>
      </c>
      <c r="K53" s="7" t="n">
        <v>10</v>
      </c>
      <c r="L53" s="8" t="n">
        <v>1</v>
      </c>
      <c r="M53" s="7" t="n">
        <v>10</v>
      </c>
      <c r="N53" s="7" t="n">
        <v>25</v>
      </c>
      <c r="O53" s="8" t="n">
        <v>1</v>
      </c>
      <c r="P53" s="7" t="n">
        <v>25</v>
      </c>
      <c r="Q53" s="7" t="n">
        <v>30</v>
      </c>
      <c r="R53" s="8" t="n">
        <v>1</v>
      </c>
      <c r="S53" s="7" t="n">
        <v>30</v>
      </c>
    </row>
    <row r="54" customFormat="false" ht="15" hidden="false" customHeight="false" outlineLevel="0" collapsed="false">
      <c r="A54" s="9" t="s">
        <v>48</v>
      </c>
      <c r="B54" s="10" t="n">
        <v>108185</v>
      </c>
      <c r="C54" s="11" t="n">
        <v>0.845</v>
      </c>
      <c r="D54" s="10" t="n">
        <v>128070</v>
      </c>
      <c r="E54" s="10" t="n">
        <v>121810</v>
      </c>
      <c r="F54" s="11" t="n">
        <v>0.878</v>
      </c>
      <c r="G54" s="10" t="n">
        <v>138670</v>
      </c>
      <c r="H54" s="10" t="n">
        <v>106845</v>
      </c>
      <c r="I54" s="11" t="n">
        <v>0.861</v>
      </c>
      <c r="J54" s="10" t="n">
        <v>124120</v>
      </c>
      <c r="K54" s="10" t="n">
        <v>89895</v>
      </c>
      <c r="L54" s="11" t="n">
        <v>0.861</v>
      </c>
      <c r="M54" s="10" t="n">
        <v>104380</v>
      </c>
      <c r="N54" s="10" t="n">
        <v>94230</v>
      </c>
      <c r="O54" s="11" t="n">
        <v>0.91</v>
      </c>
      <c r="P54" s="10" t="n">
        <v>103595</v>
      </c>
      <c r="Q54" s="10" t="n">
        <v>92845</v>
      </c>
      <c r="R54" s="11" t="n">
        <v>0.885</v>
      </c>
      <c r="S54" s="10" t="n">
        <v>104865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O1048576"/>
  <sheetViews>
    <sheetView showFormulas="false" showGridLines="true" showRowColHeaders="true" showZeros="true" rightToLeft="false" tabSelected="true" showOutlineSymbols="true" defaultGridColor="true" view="normal" topLeftCell="A25" colorId="64" zoomScale="100" zoomScaleNormal="100" zoomScalePageLayoutView="100" workbookViewId="0">
      <selection pane="topLeft" activeCell="A45" activeCellId="0" sqref="A45"/>
    </sheetView>
  </sheetViews>
  <sheetFormatPr defaultColWidth="11.078125" defaultRowHeight="15" zeroHeight="false" outlineLevelRow="0" outlineLevelCol="0"/>
  <cols>
    <col collapsed="false" customWidth="true" hidden="false" outlineLevel="0" max="1" min="1" style="1" width="54.69"/>
    <col collapsed="false" customWidth="true" hidden="false" outlineLevel="0" max="2" min="2" style="1" width="18.69"/>
    <col collapsed="false" customWidth="true" hidden="false" outlineLevel="0" max="3" min="3" style="1" width="23.07"/>
    <col collapsed="false" customWidth="true" hidden="false" outlineLevel="0" max="4" min="4" style="1" width="20.52"/>
    <col collapsed="false" customWidth="true" hidden="false" outlineLevel="0" max="5" min="5" style="1" width="25.08"/>
    <col collapsed="false" customWidth="true" hidden="false" outlineLevel="0" max="6" min="6" style="1" width="20.52"/>
    <col collapsed="false" customWidth="true" hidden="false" outlineLevel="0" max="7" min="7" style="1" width="25.08"/>
    <col collapsed="false" customWidth="true" hidden="false" outlineLevel="0" max="8" min="8" style="1" width="20.52"/>
    <col collapsed="false" customWidth="true" hidden="false" outlineLevel="0" max="9" min="9" style="1" width="25.08"/>
    <col collapsed="false" customWidth="true" hidden="false" outlineLevel="0" max="10" min="10" style="1" width="20.08"/>
    <col collapsed="false" customWidth="true" hidden="false" outlineLevel="0" max="11" min="11" style="1" width="24.69"/>
    <col collapsed="false" customWidth="true" hidden="false" outlineLevel="0" max="12" min="12" style="1" width="11.69"/>
    <col collapsed="false" customWidth="true" hidden="false" outlineLevel="0" max="13" min="13" style="1" width="18.69"/>
    <col collapsed="false" customWidth="true" hidden="false" outlineLevel="0" max="14" min="14" style="1" width="23.07"/>
    <col collapsed="false" customWidth="true" hidden="false" outlineLevel="0" max="15" min="15" style="1" width="20.52"/>
    <col collapsed="false" customWidth="true" hidden="false" outlineLevel="0" max="16" min="16" style="1" width="25.08"/>
    <col collapsed="false" customWidth="true" hidden="false" outlineLevel="0" max="17" min="17" style="1" width="20.52"/>
    <col collapsed="false" customWidth="true" hidden="false" outlineLevel="0" max="18" min="18" style="1" width="25.08"/>
    <col collapsed="false" customWidth="true" hidden="false" outlineLevel="0" max="19" min="19" style="1" width="20.52"/>
    <col collapsed="false" customWidth="true" hidden="false" outlineLevel="0" max="20" min="20" style="1" width="25.08"/>
    <col collapsed="false" customWidth="true" hidden="false" outlineLevel="0" max="21" min="21" style="1" width="20.08"/>
    <col collapsed="false" customWidth="true" hidden="false" outlineLevel="0" max="22" min="22" style="1" width="24.69"/>
    <col collapsed="false" customWidth="true" hidden="false" outlineLevel="0" max="23" min="23" style="1" width="11.69"/>
    <col collapsed="false" customWidth="true" hidden="false" outlineLevel="0" max="24" min="24" style="1" width="18.69"/>
    <col collapsed="false" customWidth="true" hidden="false" outlineLevel="0" max="25" min="25" style="1" width="23.07"/>
    <col collapsed="false" customWidth="true" hidden="false" outlineLevel="0" max="26" min="26" style="1" width="20.52"/>
    <col collapsed="false" customWidth="true" hidden="false" outlineLevel="0" max="27" min="27" style="1" width="25.08"/>
    <col collapsed="false" customWidth="true" hidden="false" outlineLevel="0" max="28" min="28" style="1" width="20.52"/>
    <col collapsed="false" customWidth="true" hidden="false" outlineLevel="0" max="29" min="29" style="1" width="25.08"/>
    <col collapsed="false" customWidth="true" hidden="false" outlineLevel="0" max="30" min="30" style="1" width="20.52"/>
    <col collapsed="false" customWidth="true" hidden="false" outlineLevel="0" max="31" min="31" style="1" width="25.08"/>
    <col collapsed="false" customWidth="true" hidden="false" outlineLevel="0" max="32" min="32" style="1" width="20.08"/>
    <col collapsed="false" customWidth="true" hidden="false" outlineLevel="0" max="33" min="33" style="1" width="24.69"/>
    <col collapsed="false" customWidth="true" hidden="false" outlineLevel="0" max="34" min="34" style="1" width="11.69"/>
    <col collapsed="false" customWidth="true" hidden="false" outlineLevel="0" max="35" min="35" style="1" width="18.69"/>
    <col collapsed="false" customWidth="true" hidden="false" outlineLevel="0" max="36" min="36" style="1" width="23.07"/>
    <col collapsed="false" customWidth="true" hidden="false" outlineLevel="0" max="37" min="37" style="1" width="20.52"/>
    <col collapsed="false" customWidth="true" hidden="false" outlineLevel="0" max="38" min="38" style="1" width="25.08"/>
    <col collapsed="false" customWidth="true" hidden="false" outlineLevel="0" max="39" min="39" style="1" width="20.52"/>
    <col collapsed="false" customWidth="true" hidden="false" outlineLevel="0" max="40" min="40" style="1" width="25.08"/>
    <col collapsed="false" customWidth="true" hidden="false" outlineLevel="0" max="41" min="41" style="1" width="20.52"/>
    <col collapsed="false" customWidth="true" hidden="false" outlineLevel="0" max="42" min="42" style="1" width="25.08"/>
    <col collapsed="false" customWidth="true" hidden="false" outlineLevel="0" max="43" min="43" style="1" width="20.08"/>
    <col collapsed="false" customWidth="true" hidden="false" outlineLevel="0" max="44" min="44" style="1" width="24.69"/>
    <col collapsed="false" customWidth="true" hidden="false" outlineLevel="0" max="45" min="45" style="1" width="11.69"/>
    <col collapsed="false" customWidth="true" hidden="false" outlineLevel="0" max="46" min="46" style="1" width="18.69"/>
    <col collapsed="false" customWidth="true" hidden="false" outlineLevel="0" max="47" min="47" style="1" width="23.07"/>
    <col collapsed="false" customWidth="true" hidden="false" outlineLevel="0" max="48" min="48" style="1" width="20.52"/>
    <col collapsed="false" customWidth="true" hidden="false" outlineLevel="0" max="49" min="49" style="1" width="25.08"/>
    <col collapsed="false" customWidth="true" hidden="false" outlineLevel="0" max="50" min="50" style="1" width="20.52"/>
    <col collapsed="false" customWidth="true" hidden="false" outlineLevel="0" max="51" min="51" style="1" width="25.08"/>
    <col collapsed="false" customWidth="true" hidden="false" outlineLevel="0" max="52" min="52" style="1" width="20.52"/>
    <col collapsed="false" customWidth="true" hidden="false" outlineLevel="0" max="53" min="53" style="1" width="25.08"/>
    <col collapsed="false" customWidth="true" hidden="false" outlineLevel="0" max="54" min="54" style="1" width="20.08"/>
    <col collapsed="false" customWidth="true" hidden="false" outlineLevel="0" max="55" min="55" style="1" width="24.69"/>
    <col collapsed="false" customWidth="true" hidden="false" outlineLevel="0" max="56" min="56" style="1" width="11.69"/>
    <col collapsed="false" customWidth="true" hidden="false" outlineLevel="0" max="57" min="57" style="1" width="18.69"/>
    <col collapsed="false" customWidth="true" hidden="false" outlineLevel="0" max="58" min="58" style="1" width="23.07"/>
    <col collapsed="false" customWidth="true" hidden="false" outlineLevel="0" max="59" min="59" style="1" width="20.52"/>
    <col collapsed="false" customWidth="true" hidden="false" outlineLevel="0" max="60" min="60" style="1" width="25.08"/>
    <col collapsed="false" customWidth="true" hidden="false" outlineLevel="0" max="61" min="61" style="1" width="20.52"/>
    <col collapsed="false" customWidth="true" hidden="false" outlineLevel="0" max="62" min="62" style="1" width="25.08"/>
    <col collapsed="false" customWidth="true" hidden="false" outlineLevel="0" max="63" min="63" style="1" width="20.52"/>
    <col collapsed="false" customWidth="true" hidden="false" outlineLevel="0" max="64" min="64" style="1" width="25.08"/>
    <col collapsed="false" customWidth="true" hidden="false" outlineLevel="0" max="65" min="65" style="1" width="20.08"/>
    <col collapsed="false" customWidth="true" hidden="false" outlineLevel="0" max="66" min="66" style="1" width="24.69"/>
    <col collapsed="false" customWidth="true" hidden="false" outlineLevel="0" max="67" min="67" style="1" width="11.69"/>
  </cols>
  <sheetData>
    <row r="1" customFormat="false" ht="30" hidden="false" customHeight="true" outlineLevel="0" collapsed="false">
      <c r="A1" s="2" t="s">
        <v>94</v>
      </c>
    </row>
    <row r="2" customFormat="false" ht="15" hidden="false" customHeight="false" outlineLevel="0" collapsed="false">
      <c r="A2" s="1" t="s">
        <v>8</v>
      </c>
    </row>
    <row r="3" customFormat="false" ht="15" hidden="false" customHeight="false" outlineLevel="0" collapsed="false">
      <c r="A3" s="6" t="s">
        <v>9</v>
      </c>
      <c r="B3" s="6" t="s">
        <v>95</v>
      </c>
      <c r="C3" s="6" t="s">
        <v>96</v>
      </c>
      <c r="D3" s="6" t="s">
        <v>97</v>
      </c>
      <c r="E3" s="6" t="s">
        <v>98</v>
      </c>
      <c r="F3" s="6" t="s">
        <v>99</v>
      </c>
      <c r="G3" s="6" t="s">
        <v>100</v>
      </c>
      <c r="H3" s="6" t="s">
        <v>101</v>
      </c>
      <c r="I3" s="6" t="s">
        <v>102</v>
      </c>
      <c r="J3" s="6" t="s">
        <v>103</v>
      </c>
      <c r="K3" s="6" t="s">
        <v>104</v>
      </c>
      <c r="L3" s="6" t="s">
        <v>12</v>
      </c>
      <c r="M3" s="6" t="s">
        <v>105</v>
      </c>
      <c r="N3" s="6" t="s">
        <v>106</v>
      </c>
      <c r="O3" s="6" t="s">
        <v>107</v>
      </c>
      <c r="P3" s="6" t="s">
        <v>108</v>
      </c>
      <c r="Q3" s="6" t="s">
        <v>109</v>
      </c>
      <c r="R3" s="6" t="s">
        <v>110</v>
      </c>
      <c r="S3" s="6" t="s">
        <v>111</v>
      </c>
      <c r="T3" s="6" t="s">
        <v>112</v>
      </c>
      <c r="U3" s="6" t="s">
        <v>113</v>
      </c>
      <c r="V3" s="6" t="s">
        <v>114</v>
      </c>
      <c r="W3" s="6" t="s">
        <v>15</v>
      </c>
      <c r="X3" s="6" t="s">
        <v>115</v>
      </c>
      <c r="Y3" s="6" t="s">
        <v>116</v>
      </c>
      <c r="Z3" s="6" t="s">
        <v>117</v>
      </c>
      <c r="AA3" s="6" t="s">
        <v>118</v>
      </c>
      <c r="AB3" s="6" t="s">
        <v>119</v>
      </c>
      <c r="AC3" s="6" t="s">
        <v>120</v>
      </c>
      <c r="AD3" s="6" t="s">
        <v>121</v>
      </c>
      <c r="AE3" s="6" t="s">
        <v>122</v>
      </c>
      <c r="AF3" s="6" t="s">
        <v>123</v>
      </c>
      <c r="AG3" s="6" t="s">
        <v>124</v>
      </c>
      <c r="AH3" s="6" t="s">
        <v>18</v>
      </c>
      <c r="AI3" s="6" t="s">
        <v>125</v>
      </c>
      <c r="AJ3" s="6" t="s">
        <v>126</v>
      </c>
      <c r="AK3" s="6" t="s">
        <v>127</v>
      </c>
      <c r="AL3" s="6" t="s">
        <v>128</v>
      </c>
      <c r="AM3" s="6" t="s">
        <v>129</v>
      </c>
      <c r="AN3" s="6" t="s">
        <v>130</v>
      </c>
      <c r="AO3" s="6" t="s">
        <v>131</v>
      </c>
      <c r="AP3" s="6" t="s">
        <v>132</v>
      </c>
      <c r="AQ3" s="6" t="s">
        <v>133</v>
      </c>
      <c r="AR3" s="6" t="s">
        <v>134</v>
      </c>
      <c r="AS3" s="6" t="s">
        <v>21</v>
      </c>
      <c r="AT3" s="6" t="s">
        <v>135</v>
      </c>
      <c r="AU3" s="6" t="s">
        <v>136</v>
      </c>
      <c r="AV3" s="6" t="s">
        <v>137</v>
      </c>
      <c r="AW3" s="6" t="s">
        <v>138</v>
      </c>
      <c r="AX3" s="6" t="s">
        <v>139</v>
      </c>
      <c r="AY3" s="6" t="s">
        <v>140</v>
      </c>
      <c r="AZ3" s="6" t="s">
        <v>141</v>
      </c>
      <c r="BA3" s="6" t="s">
        <v>142</v>
      </c>
      <c r="BB3" s="6" t="s">
        <v>143</v>
      </c>
      <c r="BC3" s="6" t="s">
        <v>144</v>
      </c>
      <c r="BD3" s="6" t="s">
        <v>24</v>
      </c>
      <c r="BE3" s="6" t="s">
        <v>145</v>
      </c>
      <c r="BF3" s="6" t="s">
        <v>146</v>
      </c>
      <c r="BG3" s="6" t="s">
        <v>147</v>
      </c>
      <c r="BH3" s="6" t="s">
        <v>148</v>
      </c>
      <c r="BI3" s="6" t="s">
        <v>149</v>
      </c>
      <c r="BJ3" s="6" t="s">
        <v>150</v>
      </c>
      <c r="BK3" s="6" t="s">
        <v>151</v>
      </c>
      <c r="BL3" s="6" t="s">
        <v>152</v>
      </c>
      <c r="BM3" s="6" t="s">
        <v>153</v>
      </c>
      <c r="BN3" s="6" t="s">
        <v>154</v>
      </c>
      <c r="BO3" s="6" t="s">
        <v>27</v>
      </c>
    </row>
    <row r="4" customFormat="false" ht="15" hidden="false" customHeight="false" outlineLevel="0" collapsed="false">
      <c r="A4" s="1" t="s">
        <v>155</v>
      </c>
      <c r="B4" s="7" t="n">
        <v>430</v>
      </c>
      <c r="C4" s="8" t="n">
        <v>0.57</v>
      </c>
      <c r="D4" s="7" t="n">
        <v>555</v>
      </c>
      <c r="E4" s="8" t="n">
        <v>0.732</v>
      </c>
      <c r="F4" s="7" t="n">
        <v>640</v>
      </c>
      <c r="G4" s="8" t="n">
        <v>0.849</v>
      </c>
      <c r="H4" s="7" t="n">
        <v>685</v>
      </c>
      <c r="I4" s="8" t="n">
        <v>0.906</v>
      </c>
      <c r="J4" s="7" t="n">
        <v>70</v>
      </c>
      <c r="K4" s="8" t="n">
        <v>0.094</v>
      </c>
      <c r="L4" s="7" t="n">
        <v>755</v>
      </c>
      <c r="M4" s="7" t="n">
        <v>420</v>
      </c>
      <c r="N4" s="8" t="n">
        <v>0.528</v>
      </c>
      <c r="O4" s="7" t="n">
        <v>555</v>
      </c>
      <c r="P4" s="8" t="n">
        <v>0.697</v>
      </c>
      <c r="Q4" s="7" t="n">
        <v>670</v>
      </c>
      <c r="R4" s="8" t="n">
        <v>0.84</v>
      </c>
      <c r="S4" s="7" t="n">
        <v>730</v>
      </c>
      <c r="T4" s="8" t="n">
        <v>0.917</v>
      </c>
      <c r="U4" s="7" t="n">
        <v>65</v>
      </c>
      <c r="V4" s="8" t="n">
        <v>0.083</v>
      </c>
      <c r="W4" s="7" t="n">
        <v>795</v>
      </c>
      <c r="X4" s="7" t="n">
        <v>440</v>
      </c>
      <c r="Y4" s="8" t="n">
        <v>0.512</v>
      </c>
      <c r="Z4" s="7" t="n">
        <v>570</v>
      </c>
      <c r="AA4" s="8" t="n">
        <v>0.668</v>
      </c>
      <c r="AB4" s="7" t="n">
        <v>670</v>
      </c>
      <c r="AC4" s="8" t="n">
        <v>0.786</v>
      </c>
      <c r="AD4" s="7" t="n">
        <v>770</v>
      </c>
      <c r="AE4" s="8" t="n">
        <v>0.902</v>
      </c>
      <c r="AF4" s="7" t="n">
        <v>85</v>
      </c>
      <c r="AG4" s="8" t="n">
        <v>0.098</v>
      </c>
      <c r="AH4" s="7" t="n">
        <v>855</v>
      </c>
      <c r="AI4" s="7" t="n">
        <v>510</v>
      </c>
      <c r="AJ4" s="8" t="n">
        <v>0.564</v>
      </c>
      <c r="AK4" s="7" t="n">
        <v>655</v>
      </c>
      <c r="AL4" s="8" t="n">
        <v>0.727</v>
      </c>
      <c r="AM4" s="7" t="n">
        <v>790</v>
      </c>
      <c r="AN4" s="8" t="n">
        <v>0.878</v>
      </c>
      <c r="AO4" s="7" t="n">
        <v>850</v>
      </c>
      <c r="AP4" s="8" t="n">
        <v>0.942</v>
      </c>
      <c r="AQ4" s="7" t="n">
        <v>50</v>
      </c>
      <c r="AR4" s="8" t="n">
        <v>0.058</v>
      </c>
      <c r="AS4" s="7" t="n">
        <v>900</v>
      </c>
      <c r="AT4" s="7" t="n">
        <v>515</v>
      </c>
      <c r="AU4" s="8" t="n">
        <v>0.568</v>
      </c>
      <c r="AV4" s="7" t="n">
        <v>705</v>
      </c>
      <c r="AW4" s="8" t="n">
        <v>0.779</v>
      </c>
      <c r="AX4" s="7" t="n">
        <v>830</v>
      </c>
      <c r="AY4" s="8" t="n">
        <v>0.914</v>
      </c>
      <c r="AZ4" s="7" t="n">
        <v>880</v>
      </c>
      <c r="BA4" s="8" t="n">
        <v>0.969</v>
      </c>
      <c r="BB4" s="7" t="n">
        <v>30</v>
      </c>
      <c r="BC4" s="8" t="n">
        <v>0.031</v>
      </c>
      <c r="BD4" s="7" t="n">
        <v>910</v>
      </c>
      <c r="BE4" s="7" t="n">
        <v>435</v>
      </c>
      <c r="BF4" s="8" t="n">
        <v>0.483</v>
      </c>
      <c r="BG4" s="7" t="n">
        <v>615</v>
      </c>
      <c r="BH4" s="8" t="n">
        <v>0.685</v>
      </c>
      <c r="BI4" s="7" t="n">
        <v>750</v>
      </c>
      <c r="BJ4" s="8" t="n">
        <v>0.834</v>
      </c>
      <c r="BK4" s="7" t="n">
        <v>815</v>
      </c>
      <c r="BL4" s="8" t="n">
        <v>0.905</v>
      </c>
      <c r="BM4" s="7" t="n">
        <v>85</v>
      </c>
      <c r="BN4" s="8" t="n">
        <v>0.095</v>
      </c>
      <c r="BO4" s="7" t="n">
        <v>900</v>
      </c>
    </row>
    <row r="5" customFormat="false" ht="15" hidden="false" customHeight="false" outlineLevel="0" collapsed="false">
      <c r="A5" s="1" t="s">
        <v>50</v>
      </c>
      <c r="B5" s="7" t="n">
        <v>1780</v>
      </c>
      <c r="C5" s="8" t="n">
        <v>0.344</v>
      </c>
      <c r="D5" s="7" t="n">
        <v>3110</v>
      </c>
      <c r="E5" s="8" t="n">
        <v>0.6</v>
      </c>
      <c r="F5" s="7" t="n">
        <v>4175</v>
      </c>
      <c r="G5" s="8" t="n">
        <v>0.805</v>
      </c>
      <c r="H5" s="7" t="n">
        <v>4825</v>
      </c>
      <c r="I5" s="8" t="n">
        <v>0.931</v>
      </c>
      <c r="J5" s="7" t="n">
        <v>360</v>
      </c>
      <c r="K5" s="8" t="n">
        <v>0.069</v>
      </c>
      <c r="L5" s="7" t="n">
        <v>5185</v>
      </c>
      <c r="M5" s="7" t="n">
        <v>1735</v>
      </c>
      <c r="N5" s="8" t="n">
        <v>0.318</v>
      </c>
      <c r="O5" s="7" t="n">
        <v>3195</v>
      </c>
      <c r="P5" s="8" t="n">
        <v>0.584</v>
      </c>
      <c r="Q5" s="7" t="n">
        <v>4375</v>
      </c>
      <c r="R5" s="8" t="n">
        <v>0.8</v>
      </c>
      <c r="S5" s="7" t="n">
        <v>5060</v>
      </c>
      <c r="T5" s="8" t="n">
        <v>0.925</v>
      </c>
      <c r="U5" s="7" t="n">
        <v>410</v>
      </c>
      <c r="V5" s="8" t="n">
        <v>0.075</v>
      </c>
      <c r="W5" s="7" t="n">
        <v>5465</v>
      </c>
      <c r="X5" s="7" t="n">
        <v>1680</v>
      </c>
      <c r="Y5" s="8" t="n">
        <v>0.31</v>
      </c>
      <c r="Z5" s="7" t="n">
        <v>3105</v>
      </c>
      <c r="AA5" s="8" t="n">
        <v>0.574</v>
      </c>
      <c r="AB5" s="7" t="n">
        <v>4380</v>
      </c>
      <c r="AC5" s="8" t="n">
        <v>0.81</v>
      </c>
      <c r="AD5" s="7" t="n">
        <v>5110</v>
      </c>
      <c r="AE5" s="8" t="n">
        <v>0.944</v>
      </c>
      <c r="AF5" s="7" t="n">
        <v>305</v>
      </c>
      <c r="AG5" s="8" t="n">
        <v>0.056</v>
      </c>
      <c r="AH5" s="7" t="n">
        <v>5410</v>
      </c>
      <c r="AI5" s="7" t="n">
        <v>2665</v>
      </c>
      <c r="AJ5" s="8" t="n">
        <v>0.492</v>
      </c>
      <c r="AK5" s="7" t="n">
        <v>4085</v>
      </c>
      <c r="AL5" s="8" t="n">
        <v>0.754</v>
      </c>
      <c r="AM5" s="7" t="n">
        <v>5020</v>
      </c>
      <c r="AN5" s="8" t="n">
        <v>0.926</v>
      </c>
      <c r="AO5" s="7" t="n">
        <v>5315</v>
      </c>
      <c r="AP5" s="8" t="n">
        <v>0.98</v>
      </c>
      <c r="AQ5" s="7" t="n">
        <v>110</v>
      </c>
      <c r="AR5" s="8" t="n">
        <v>0.02</v>
      </c>
      <c r="AS5" s="7" t="n">
        <v>5420</v>
      </c>
      <c r="AT5" s="7" t="n">
        <v>2000</v>
      </c>
      <c r="AU5" s="8" t="n">
        <v>0.386</v>
      </c>
      <c r="AV5" s="7" t="n">
        <v>3530</v>
      </c>
      <c r="AW5" s="8" t="n">
        <v>0.68</v>
      </c>
      <c r="AX5" s="7" t="n">
        <v>4785</v>
      </c>
      <c r="AY5" s="8" t="n">
        <v>0.922</v>
      </c>
      <c r="AZ5" s="7" t="n">
        <v>5090</v>
      </c>
      <c r="BA5" s="8" t="n">
        <v>0.981</v>
      </c>
      <c r="BB5" s="7" t="n">
        <v>100</v>
      </c>
      <c r="BC5" s="8" t="n">
        <v>0.019</v>
      </c>
      <c r="BD5" s="7" t="n">
        <v>5190</v>
      </c>
      <c r="BE5" s="7" t="n">
        <v>1450</v>
      </c>
      <c r="BF5" s="8" t="n">
        <v>0.297</v>
      </c>
      <c r="BG5" s="7" t="n">
        <v>2760</v>
      </c>
      <c r="BH5" s="8" t="n">
        <v>0.565</v>
      </c>
      <c r="BI5" s="7" t="n">
        <v>3845</v>
      </c>
      <c r="BJ5" s="8" t="n">
        <v>0.787</v>
      </c>
      <c r="BK5" s="7" t="n">
        <v>4490</v>
      </c>
      <c r="BL5" s="8" t="n">
        <v>0.919</v>
      </c>
      <c r="BM5" s="7" t="n">
        <v>395</v>
      </c>
      <c r="BN5" s="8" t="n">
        <v>0.081</v>
      </c>
      <c r="BO5" s="7" t="n">
        <v>4885</v>
      </c>
    </row>
    <row r="6" customFormat="false" ht="15" hidden="false" customHeight="false" outlineLevel="0" collapsed="false">
      <c r="A6" s="1" t="s">
        <v>51</v>
      </c>
      <c r="B6" s="7" t="n">
        <v>6220</v>
      </c>
      <c r="C6" s="8" t="n">
        <v>0.256</v>
      </c>
      <c r="D6" s="7" t="n">
        <v>10005</v>
      </c>
      <c r="E6" s="8" t="n">
        <v>0.413</v>
      </c>
      <c r="F6" s="7" t="n">
        <v>14395</v>
      </c>
      <c r="G6" s="8" t="n">
        <v>0.593</v>
      </c>
      <c r="H6" s="7" t="n">
        <v>18415</v>
      </c>
      <c r="I6" s="8" t="n">
        <v>0.759</v>
      </c>
      <c r="J6" s="7" t="n">
        <v>5845</v>
      </c>
      <c r="K6" s="8" t="n">
        <v>0.241</v>
      </c>
      <c r="L6" s="7" t="n">
        <v>24260</v>
      </c>
      <c r="M6" s="7" t="n">
        <v>4795</v>
      </c>
      <c r="N6" s="8" t="n">
        <v>0.252</v>
      </c>
      <c r="O6" s="7" t="n">
        <v>8195</v>
      </c>
      <c r="P6" s="8" t="n">
        <v>0.431</v>
      </c>
      <c r="Q6" s="7" t="n">
        <v>11765</v>
      </c>
      <c r="R6" s="8" t="n">
        <v>0.619</v>
      </c>
      <c r="S6" s="7" t="n">
        <v>15045</v>
      </c>
      <c r="T6" s="8" t="n">
        <v>0.791</v>
      </c>
      <c r="U6" s="7" t="n">
        <v>3975</v>
      </c>
      <c r="V6" s="8" t="n">
        <v>0.209</v>
      </c>
      <c r="W6" s="7" t="n">
        <v>19020</v>
      </c>
      <c r="X6" s="7" t="n">
        <v>3570</v>
      </c>
      <c r="Y6" s="8" t="n">
        <v>0.25</v>
      </c>
      <c r="Z6" s="7" t="n">
        <v>6460</v>
      </c>
      <c r="AA6" s="8" t="n">
        <v>0.452</v>
      </c>
      <c r="AB6" s="7" t="n">
        <v>9265</v>
      </c>
      <c r="AC6" s="8" t="n">
        <v>0.648</v>
      </c>
      <c r="AD6" s="7" t="n">
        <v>11820</v>
      </c>
      <c r="AE6" s="8" t="n">
        <v>0.826</v>
      </c>
      <c r="AF6" s="7" t="n">
        <v>2485</v>
      </c>
      <c r="AG6" s="8" t="n">
        <v>0.174</v>
      </c>
      <c r="AH6" s="7" t="n">
        <v>14305</v>
      </c>
      <c r="AI6" s="7" t="n">
        <v>2440</v>
      </c>
      <c r="AJ6" s="8" t="n">
        <v>0.227</v>
      </c>
      <c r="AK6" s="7" t="n">
        <v>4265</v>
      </c>
      <c r="AL6" s="8" t="n">
        <v>0.397</v>
      </c>
      <c r="AM6" s="7" t="n">
        <v>6875</v>
      </c>
      <c r="AN6" s="8" t="n">
        <v>0.64</v>
      </c>
      <c r="AO6" s="7" t="n">
        <v>8690</v>
      </c>
      <c r="AP6" s="8" t="n">
        <v>0.809</v>
      </c>
      <c r="AQ6" s="7" t="n">
        <v>2055</v>
      </c>
      <c r="AR6" s="8" t="n">
        <v>0.191</v>
      </c>
      <c r="AS6" s="7" t="n">
        <v>10750</v>
      </c>
      <c r="AT6" s="7" t="n">
        <v>3020</v>
      </c>
      <c r="AU6" s="8" t="n">
        <v>0.289</v>
      </c>
      <c r="AV6" s="7" t="n">
        <v>5080</v>
      </c>
      <c r="AW6" s="8" t="n">
        <v>0.487</v>
      </c>
      <c r="AX6" s="7" t="n">
        <v>7850</v>
      </c>
      <c r="AY6" s="8" t="n">
        <v>0.753</v>
      </c>
      <c r="AZ6" s="7" t="n">
        <v>9145</v>
      </c>
      <c r="BA6" s="8" t="n">
        <v>0.877</v>
      </c>
      <c r="BB6" s="7" t="n">
        <v>1285</v>
      </c>
      <c r="BC6" s="8" t="n">
        <v>0.123</v>
      </c>
      <c r="BD6" s="7" t="n">
        <v>10430</v>
      </c>
      <c r="BE6" s="7" t="n">
        <v>1060</v>
      </c>
      <c r="BF6" s="8" t="n">
        <v>0.238</v>
      </c>
      <c r="BG6" s="7" t="n">
        <v>1780</v>
      </c>
      <c r="BH6" s="8" t="n">
        <v>0.399</v>
      </c>
      <c r="BI6" s="7" t="n">
        <v>2605</v>
      </c>
      <c r="BJ6" s="8" t="n">
        <v>0.585</v>
      </c>
      <c r="BK6" s="7" t="n">
        <v>3435</v>
      </c>
      <c r="BL6" s="8" t="n">
        <v>0.771</v>
      </c>
      <c r="BM6" s="7" t="n">
        <v>1025</v>
      </c>
      <c r="BN6" s="8" t="n">
        <v>0.229</v>
      </c>
      <c r="BO6" s="7" t="n">
        <v>4460</v>
      </c>
    </row>
    <row r="7" customFormat="false" ht="15" hidden="false" customHeight="false" outlineLevel="0" collapsed="false">
      <c r="A7" s="1" t="s">
        <v>52</v>
      </c>
      <c r="B7" s="7" t="n">
        <v>4270</v>
      </c>
      <c r="C7" s="8" t="n">
        <v>0.413</v>
      </c>
      <c r="D7" s="7" t="n">
        <v>7395</v>
      </c>
      <c r="E7" s="8" t="n">
        <v>0.715</v>
      </c>
      <c r="F7" s="7" t="n">
        <v>9535</v>
      </c>
      <c r="G7" s="8" t="n">
        <v>0.922</v>
      </c>
      <c r="H7" s="7" t="n">
        <v>10190</v>
      </c>
      <c r="I7" s="8" t="n">
        <v>0.986</v>
      </c>
      <c r="J7" s="7" t="n">
        <v>145</v>
      </c>
      <c r="K7" s="8" t="n">
        <v>0.014</v>
      </c>
      <c r="L7" s="7" t="n">
        <v>10335</v>
      </c>
      <c r="M7" s="7" t="n">
        <v>4320</v>
      </c>
      <c r="N7" s="8" t="n">
        <v>0.42</v>
      </c>
      <c r="O7" s="7" t="n">
        <v>7420</v>
      </c>
      <c r="P7" s="8" t="n">
        <v>0.721</v>
      </c>
      <c r="Q7" s="7" t="n">
        <v>9485</v>
      </c>
      <c r="R7" s="8" t="n">
        <v>0.922</v>
      </c>
      <c r="S7" s="7" t="n">
        <v>10135</v>
      </c>
      <c r="T7" s="8" t="n">
        <v>0.986</v>
      </c>
      <c r="U7" s="7" t="n">
        <v>145</v>
      </c>
      <c r="V7" s="8" t="n">
        <v>0.014</v>
      </c>
      <c r="W7" s="7" t="n">
        <v>10285</v>
      </c>
      <c r="X7" s="7" t="n">
        <v>4480</v>
      </c>
      <c r="Y7" s="8" t="n">
        <v>0.444</v>
      </c>
      <c r="Z7" s="7" t="n">
        <v>7380</v>
      </c>
      <c r="AA7" s="8" t="n">
        <v>0.731</v>
      </c>
      <c r="AB7" s="7" t="n">
        <v>9200</v>
      </c>
      <c r="AC7" s="8" t="n">
        <v>0.911</v>
      </c>
      <c r="AD7" s="7" t="n">
        <v>9900</v>
      </c>
      <c r="AE7" s="8" t="n">
        <v>0.981</v>
      </c>
      <c r="AF7" s="7" t="n">
        <v>190</v>
      </c>
      <c r="AG7" s="8" t="n">
        <v>0.019</v>
      </c>
      <c r="AH7" s="7" t="n">
        <v>10095</v>
      </c>
      <c r="AI7" s="7" t="n">
        <v>4750</v>
      </c>
      <c r="AJ7" s="8" t="n">
        <v>0.474</v>
      </c>
      <c r="AK7" s="7" t="n">
        <v>7405</v>
      </c>
      <c r="AL7" s="8" t="n">
        <v>0.739</v>
      </c>
      <c r="AM7" s="7" t="n">
        <v>9410</v>
      </c>
      <c r="AN7" s="8" t="n">
        <v>0.939</v>
      </c>
      <c r="AO7" s="7" t="n">
        <v>9860</v>
      </c>
      <c r="AP7" s="8" t="n">
        <v>0.984</v>
      </c>
      <c r="AQ7" s="7" t="n">
        <v>160</v>
      </c>
      <c r="AR7" s="8" t="n">
        <v>0.016</v>
      </c>
      <c r="AS7" s="7" t="n">
        <v>10020</v>
      </c>
      <c r="AT7" s="7" t="n">
        <v>4570</v>
      </c>
      <c r="AU7" s="8" t="n">
        <v>0.461</v>
      </c>
      <c r="AV7" s="7" t="n">
        <v>7615</v>
      </c>
      <c r="AW7" s="8" t="n">
        <v>0.768</v>
      </c>
      <c r="AX7" s="7" t="n">
        <v>9555</v>
      </c>
      <c r="AY7" s="8" t="n">
        <v>0.964</v>
      </c>
      <c r="AZ7" s="7" t="n">
        <v>9815</v>
      </c>
      <c r="BA7" s="8" t="n">
        <v>0.99</v>
      </c>
      <c r="BB7" s="7" t="n">
        <v>100</v>
      </c>
      <c r="BC7" s="8" t="n">
        <v>0.01</v>
      </c>
      <c r="BD7" s="7" t="n">
        <v>9915</v>
      </c>
      <c r="BE7" s="7" t="n">
        <v>3250</v>
      </c>
      <c r="BF7" s="8" t="n">
        <v>0.349</v>
      </c>
      <c r="BG7" s="7" t="n">
        <v>5945</v>
      </c>
      <c r="BH7" s="8" t="n">
        <v>0.638</v>
      </c>
      <c r="BI7" s="7" t="n">
        <v>8125</v>
      </c>
      <c r="BJ7" s="8" t="n">
        <v>0.872</v>
      </c>
      <c r="BK7" s="7" t="n">
        <v>9055</v>
      </c>
      <c r="BL7" s="8" t="n">
        <v>0.971</v>
      </c>
      <c r="BM7" s="7" t="n">
        <v>265</v>
      </c>
      <c r="BN7" s="8" t="n">
        <v>0.029</v>
      </c>
      <c r="BO7" s="7" t="n">
        <v>9320</v>
      </c>
    </row>
    <row r="8" customFormat="false" ht="15" hidden="false" customHeight="false" outlineLevel="0" collapsed="false">
      <c r="A8" s="1" t="s">
        <v>53</v>
      </c>
      <c r="B8" s="7" t="n">
        <v>6265</v>
      </c>
      <c r="C8" s="8" t="n">
        <v>0.28</v>
      </c>
      <c r="D8" s="7" t="n">
        <v>10245</v>
      </c>
      <c r="E8" s="8" t="n">
        <v>0.458</v>
      </c>
      <c r="F8" s="7" t="n">
        <v>14420</v>
      </c>
      <c r="G8" s="8" t="n">
        <v>0.645</v>
      </c>
      <c r="H8" s="7" t="n">
        <v>18675</v>
      </c>
      <c r="I8" s="8" t="n">
        <v>0.836</v>
      </c>
      <c r="J8" s="7" t="n">
        <v>3670</v>
      </c>
      <c r="K8" s="8" t="n">
        <v>0.164</v>
      </c>
      <c r="L8" s="7" t="n">
        <v>22345</v>
      </c>
      <c r="M8" s="7" t="n">
        <v>7850</v>
      </c>
      <c r="N8" s="8" t="n">
        <v>0.342</v>
      </c>
      <c r="O8" s="7" t="n">
        <v>12550</v>
      </c>
      <c r="P8" s="8" t="n">
        <v>0.547</v>
      </c>
      <c r="Q8" s="7" t="n">
        <v>16720</v>
      </c>
      <c r="R8" s="8" t="n">
        <v>0.729</v>
      </c>
      <c r="S8" s="7" t="n">
        <v>20015</v>
      </c>
      <c r="T8" s="8" t="n">
        <v>0.873</v>
      </c>
      <c r="U8" s="7" t="n">
        <v>2925</v>
      </c>
      <c r="V8" s="8" t="n">
        <v>0.127</v>
      </c>
      <c r="W8" s="7" t="n">
        <v>22935</v>
      </c>
      <c r="X8" s="7" t="n">
        <v>7350</v>
      </c>
      <c r="Y8" s="8" t="n">
        <v>0.326</v>
      </c>
      <c r="Z8" s="7" t="n">
        <v>11580</v>
      </c>
      <c r="AA8" s="8" t="n">
        <v>0.513</v>
      </c>
      <c r="AB8" s="7" t="n">
        <v>16235</v>
      </c>
      <c r="AC8" s="8" t="n">
        <v>0.719</v>
      </c>
      <c r="AD8" s="7" t="n">
        <v>20340</v>
      </c>
      <c r="AE8" s="8" t="n">
        <v>0.901</v>
      </c>
      <c r="AF8" s="7" t="n">
        <v>2240</v>
      </c>
      <c r="AG8" s="8" t="n">
        <v>0.099</v>
      </c>
      <c r="AH8" s="7" t="n">
        <v>22575</v>
      </c>
      <c r="AI8" s="7" t="n">
        <v>7745</v>
      </c>
      <c r="AJ8" s="8" t="n">
        <v>0.365</v>
      </c>
      <c r="AK8" s="7" t="n">
        <v>11720</v>
      </c>
      <c r="AL8" s="8" t="n">
        <v>0.553</v>
      </c>
      <c r="AM8" s="7" t="n">
        <v>16075</v>
      </c>
      <c r="AN8" s="8" t="n">
        <v>0.758</v>
      </c>
      <c r="AO8" s="7" t="n">
        <v>19220</v>
      </c>
      <c r="AP8" s="8" t="n">
        <v>0.907</v>
      </c>
      <c r="AQ8" s="7" t="n">
        <v>1980</v>
      </c>
      <c r="AR8" s="8" t="n">
        <v>0.093</v>
      </c>
      <c r="AS8" s="7" t="n">
        <v>21195</v>
      </c>
      <c r="AT8" s="7" t="n">
        <v>7690</v>
      </c>
      <c r="AU8" s="8" t="n">
        <v>0.353</v>
      </c>
      <c r="AV8" s="7" t="n">
        <v>12720</v>
      </c>
      <c r="AW8" s="8" t="n">
        <v>0.584</v>
      </c>
      <c r="AX8" s="7" t="n">
        <v>18160</v>
      </c>
      <c r="AY8" s="8" t="n">
        <v>0.834</v>
      </c>
      <c r="AZ8" s="7" t="n">
        <v>20655</v>
      </c>
      <c r="BA8" s="8" t="n">
        <v>0.948</v>
      </c>
      <c r="BB8" s="7" t="n">
        <v>1135</v>
      </c>
      <c r="BC8" s="8" t="n">
        <v>0.052</v>
      </c>
      <c r="BD8" s="7" t="n">
        <v>21785</v>
      </c>
      <c r="BE8" s="7" t="n">
        <v>6355</v>
      </c>
      <c r="BF8" s="8" t="n">
        <v>0.295</v>
      </c>
      <c r="BG8" s="7" t="n">
        <v>10810</v>
      </c>
      <c r="BH8" s="8" t="n">
        <v>0.502</v>
      </c>
      <c r="BI8" s="7" t="n">
        <v>15200</v>
      </c>
      <c r="BJ8" s="8" t="n">
        <v>0.705</v>
      </c>
      <c r="BK8" s="7" t="n">
        <v>19125</v>
      </c>
      <c r="BL8" s="8" t="n">
        <v>0.888</v>
      </c>
      <c r="BM8" s="7" t="n">
        <v>2425</v>
      </c>
      <c r="BN8" s="8" t="n">
        <v>0.112</v>
      </c>
      <c r="BO8" s="7" t="n">
        <v>21550</v>
      </c>
    </row>
    <row r="9" customFormat="false" ht="15" hidden="false" customHeight="false" outlineLevel="0" collapsed="false">
      <c r="A9" s="1" t="s">
        <v>156</v>
      </c>
      <c r="B9" s="7" t="n">
        <v>4030</v>
      </c>
      <c r="C9" s="8" t="n">
        <v>0.407</v>
      </c>
      <c r="D9" s="7" t="n">
        <v>6385</v>
      </c>
      <c r="E9" s="8" t="n">
        <v>0.644</v>
      </c>
      <c r="F9" s="7" t="n">
        <v>8170</v>
      </c>
      <c r="G9" s="8" t="n">
        <v>0.825</v>
      </c>
      <c r="H9" s="7" t="n">
        <v>9330</v>
      </c>
      <c r="I9" s="8" t="n">
        <v>0.942</v>
      </c>
      <c r="J9" s="7" t="n">
        <v>580</v>
      </c>
      <c r="K9" s="8" t="n">
        <v>0.058</v>
      </c>
      <c r="L9" s="7" t="n">
        <v>9910</v>
      </c>
      <c r="M9" s="7" t="n">
        <v>3540</v>
      </c>
      <c r="N9" s="8" t="n">
        <v>0.356</v>
      </c>
      <c r="O9" s="7" t="n">
        <v>5730</v>
      </c>
      <c r="P9" s="8" t="n">
        <v>0.577</v>
      </c>
      <c r="Q9" s="7" t="n">
        <v>7800</v>
      </c>
      <c r="R9" s="8" t="n">
        <v>0.786</v>
      </c>
      <c r="S9" s="7" t="n">
        <v>9115</v>
      </c>
      <c r="T9" s="8" t="n">
        <v>0.918</v>
      </c>
      <c r="U9" s="7" t="n">
        <v>815</v>
      </c>
      <c r="V9" s="8" t="n">
        <v>0.082</v>
      </c>
      <c r="W9" s="7" t="n">
        <v>9930</v>
      </c>
      <c r="X9" s="7" t="n">
        <v>3650</v>
      </c>
      <c r="Y9" s="8" t="n">
        <v>0.409</v>
      </c>
      <c r="Z9" s="7" t="n">
        <v>5735</v>
      </c>
      <c r="AA9" s="8" t="n">
        <v>0.643</v>
      </c>
      <c r="AB9" s="7" t="n">
        <v>7420</v>
      </c>
      <c r="AC9" s="8" t="n">
        <v>0.832</v>
      </c>
      <c r="AD9" s="7" t="n">
        <v>8375</v>
      </c>
      <c r="AE9" s="8" t="n">
        <v>0.939</v>
      </c>
      <c r="AF9" s="7" t="n">
        <v>545</v>
      </c>
      <c r="AG9" s="8" t="n">
        <v>0.061</v>
      </c>
      <c r="AH9" s="7" t="n">
        <v>8920</v>
      </c>
      <c r="AI9" s="7" t="n">
        <v>3355</v>
      </c>
      <c r="AJ9" s="8" t="n">
        <v>0.413</v>
      </c>
      <c r="AK9" s="7" t="n">
        <v>5070</v>
      </c>
      <c r="AL9" s="8" t="n">
        <v>0.625</v>
      </c>
      <c r="AM9" s="7" t="n">
        <v>6760</v>
      </c>
      <c r="AN9" s="8" t="n">
        <v>0.833</v>
      </c>
      <c r="AO9" s="7" t="n">
        <v>7545</v>
      </c>
      <c r="AP9" s="8" t="n">
        <v>0.929</v>
      </c>
      <c r="AQ9" s="7" t="n">
        <v>575</v>
      </c>
      <c r="AR9" s="8" t="n">
        <v>0.071</v>
      </c>
      <c r="AS9" s="7" t="n">
        <v>8120</v>
      </c>
      <c r="AT9" s="7" t="n">
        <v>3040</v>
      </c>
      <c r="AU9" s="8" t="n">
        <v>0.387</v>
      </c>
      <c r="AV9" s="7" t="n">
        <v>5080</v>
      </c>
      <c r="AW9" s="8" t="n">
        <v>0.647</v>
      </c>
      <c r="AX9" s="7" t="n">
        <v>7035</v>
      </c>
      <c r="AY9" s="8" t="n">
        <v>0.896</v>
      </c>
      <c r="AZ9" s="7" t="n">
        <v>7630</v>
      </c>
      <c r="BA9" s="8" t="n">
        <v>0.971</v>
      </c>
      <c r="BB9" s="7" t="n">
        <v>225</v>
      </c>
      <c r="BC9" s="8" t="n">
        <v>0.029</v>
      </c>
      <c r="BD9" s="7" t="n">
        <v>7855</v>
      </c>
      <c r="BE9" s="7" t="n">
        <v>2660</v>
      </c>
      <c r="BF9" s="8" t="n">
        <v>0.351</v>
      </c>
      <c r="BG9" s="7" t="n">
        <v>4375</v>
      </c>
      <c r="BH9" s="8" t="n">
        <v>0.577</v>
      </c>
      <c r="BI9" s="7" t="n">
        <v>5940</v>
      </c>
      <c r="BJ9" s="8" t="n">
        <v>0.784</v>
      </c>
      <c r="BK9" s="7" t="n">
        <v>6945</v>
      </c>
      <c r="BL9" s="8" t="n">
        <v>0.917</v>
      </c>
      <c r="BM9" s="7" t="n">
        <v>630</v>
      </c>
      <c r="BN9" s="8" t="n">
        <v>0.083</v>
      </c>
      <c r="BO9" s="7" t="n">
        <v>7575</v>
      </c>
    </row>
    <row r="10" customFormat="false" ht="15" hidden="false" customHeight="false" outlineLevel="0" collapsed="false">
      <c r="A10" s="1" t="s">
        <v>157</v>
      </c>
      <c r="B10" s="7" t="n">
        <v>25</v>
      </c>
      <c r="C10" s="8" t="n">
        <v>1</v>
      </c>
      <c r="D10" s="7" t="n">
        <v>25</v>
      </c>
      <c r="E10" s="8" t="n">
        <v>1</v>
      </c>
      <c r="F10" s="7" t="n">
        <v>25</v>
      </c>
      <c r="G10" s="8" t="n">
        <v>1</v>
      </c>
      <c r="H10" s="7" t="n">
        <v>25</v>
      </c>
      <c r="I10" s="8" t="n">
        <v>1</v>
      </c>
      <c r="J10" s="7" t="n">
        <v>0</v>
      </c>
      <c r="K10" s="8" t="n">
        <v>0</v>
      </c>
      <c r="L10" s="7" t="n">
        <v>25</v>
      </c>
      <c r="M10" s="7" t="n">
        <v>10</v>
      </c>
      <c r="N10" s="8" t="n">
        <v>1</v>
      </c>
      <c r="O10" s="7" t="n">
        <v>10</v>
      </c>
      <c r="P10" s="8" t="n">
        <v>1</v>
      </c>
      <c r="Q10" s="7" t="n">
        <v>10</v>
      </c>
      <c r="R10" s="8" t="n">
        <v>1</v>
      </c>
      <c r="S10" s="7" t="n">
        <v>10</v>
      </c>
      <c r="T10" s="8" t="n">
        <v>1</v>
      </c>
      <c r="U10" s="7" t="n">
        <v>0</v>
      </c>
      <c r="V10" s="8" t="n">
        <v>0</v>
      </c>
      <c r="W10" s="7" t="n">
        <v>10</v>
      </c>
      <c r="X10" s="7" t="s">
        <v>33</v>
      </c>
      <c r="Y10" s="8" t="s">
        <v>33</v>
      </c>
      <c r="Z10" s="7" t="s">
        <v>33</v>
      </c>
      <c r="AA10" s="8" t="s">
        <v>33</v>
      </c>
      <c r="AB10" s="7" t="s">
        <v>33</v>
      </c>
      <c r="AC10" s="8" t="s">
        <v>33</v>
      </c>
      <c r="AD10" s="7" t="s">
        <v>33</v>
      </c>
      <c r="AE10" s="8" t="s">
        <v>33</v>
      </c>
      <c r="AF10" s="7" t="n">
        <v>0</v>
      </c>
      <c r="AG10" s="8" t="n">
        <v>0</v>
      </c>
      <c r="AH10" s="7" t="s">
        <v>33</v>
      </c>
      <c r="AI10" s="7" t="n">
        <v>5</v>
      </c>
      <c r="AJ10" s="8" t="n">
        <v>1</v>
      </c>
      <c r="AK10" s="7" t="n">
        <v>5</v>
      </c>
      <c r="AL10" s="8" t="n">
        <v>1</v>
      </c>
      <c r="AM10" s="7" t="n">
        <v>5</v>
      </c>
      <c r="AN10" s="8" t="n">
        <v>1</v>
      </c>
      <c r="AO10" s="7" t="n">
        <v>5</v>
      </c>
      <c r="AP10" s="8" t="n">
        <v>1</v>
      </c>
      <c r="AQ10" s="7" t="n">
        <v>0</v>
      </c>
      <c r="AR10" s="8" t="n">
        <v>0</v>
      </c>
      <c r="AS10" s="7" t="n">
        <v>5</v>
      </c>
      <c r="AT10" s="7" t="n">
        <v>5</v>
      </c>
      <c r="AU10" s="8" t="n">
        <v>1</v>
      </c>
      <c r="AV10" s="7" t="n">
        <v>5</v>
      </c>
      <c r="AW10" s="8" t="n">
        <v>1</v>
      </c>
      <c r="AX10" s="7" t="n">
        <v>5</v>
      </c>
      <c r="AY10" s="8" t="n">
        <v>1</v>
      </c>
      <c r="AZ10" s="7" t="n">
        <v>5</v>
      </c>
      <c r="BA10" s="8" t="n">
        <v>1</v>
      </c>
      <c r="BB10" s="7" t="n">
        <v>0</v>
      </c>
      <c r="BC10" s="8" t="n">
        <v>0</v>
      </c>
      <c r="BD10" s="7" t="n">
        <v>5</v>
      </c>
      <c r="BE10" s="7" t="s">
        <v>33</v>
      </c>
      <c r="BF10" s="8" t="s">
        <v>33</v>
      </c>
      <c r="BG10" s="7" t="s">
        <v>33</v>
      </c>
      <c r="BH10" s="8" t="s">
        <v>33</v>
      </c>
      <c r="BI10" s="7" t="s">
        <v>33</v>
      </c>
      <c r="BJ10" s="8" t="s">
        <v>33</v>
      </c>
      <c r="BK10" s="7" t="s">
        <v>33</v>
      </c>
      <c r="BL10" s="8" t="s">
        <v>33</v>
      </c>
      <c r="BM10" s="7" t="n">
        <v>0</v>
      </c>
      <c r="BN10" s="8" t="n">
        <v>0</v>
      </c>
      <c r="BO10" s="7" t="s">
        <v>33</v>
      </c>
    </row>
    <row r="11" customFormat="false" ht="15" hidden="false" customHeight="false" outlineLevel="0" collapsed="false">
      <c r="A11" s="1" t="s">
        <v>81</v>
      </c>
      <c r="B11" s="7" t="n">
        <v>30</v>
      </c>
      <c r="C11" s="8" t="n">
        <v>0.181</v>
      </c>
      <c r="D11" s="7" t="n">
        <v>65</v>
      </c>
      <c r="E11" s="8" t="n">
        <v>0.406</v>
      </c>
      <c r="F11" s="7" t="n">
        <v>105</v>
      </c>
      <c r="G11" s="8" t="n">
        <v>0.69</v>
      </c>
      <c r="H11" s="7" t="n">
        <v>135</v>
      </c>
      <c r="I11" s="8" t="n">
        <v>0.871</v>
      </c>
      <c r="J11" s="7" t="n">
        <v>20</v>
      </c>
      <c r="K11" s="8" t="n">
        <v>0.129</v>
      </c>
      <c r="L11" s="7" t="n">
        <v>155</v>
      </c>
      <c r="M11" s="7" t="n">
        <v>30</v>
      </c>
      <c r="N11" s="8" t="n">
        <v>0.213</v>
      </c>
      <c r="O11" s="7" t="n">
        <v>55</v>
      </c>
      <c r="P11" s="8" t="n">
        <v>0.376</v>
      </c>
      <c r="Q11" s="7" t="n">
        <v>95</v>
      </c>
      <c r="R11" s="8" t="n">
        <v>0.66</v>
      </c>
      <c r="S11" s="7" t="n">
        <v>125</v>
      </c>
      <c r="T11" s="8" t="n">
        <v>0.872</v>
      </c>
      <c r="U11" s="7" t="n">
        <v>20</v>
      </c>
      <c r="V11" s="8" t="n">
        <v>0.128</v>
      </c>
      <c r="W11" s="7" t="n">
        <v>140</v>
      </c>
      <c r="X11" s="7" t="n">
        <v>35</v>
      </c>
      <c r="Y11" s="8" t="n">
        <v>0.197</v>
      </c>
      <c r="Z11" s="7" t="n">
        <v>65</v>
      </c>
      <c r="AA11" s="8" t="n">
        <v>0.36</v>
      </c>
      <c r="AB11" s="7" t="n">
        <v>110</v>
      </c>
      <c r="AC11" s="8" t="n">
        <v>0.624</v>
      </c>
      <c r="AD11" s="7" t="n">
        <v>150</v>
      </c>
      <c r="AE11" s="8" t="n">
        <v>0.848</v>
      </c>
      <c r="AF11" s="7" t="n">
        <v>25</v>
      </c>
      <c r="AG11" s="8" t="n">
        <v>0.152</v>
      </c>
      <c r="AH11" s="7" t="n">
        <v>180</v>
      </c>
      <c r="AI11" s="7" t="n">
        <v>50</v>
      </c>
      <c r="AJ11" s="8" t="n">
        <v>0.333</v>
      </c>
      <c r="AK11" s="7" t="n">
        <v>80</v>
      </c>
      <c r="AL11" s="8" t="n">
        <v>0.558</v>
      </c>
      <c r="AM11" s="7" t="n">
        <v>105</v>
      </c>
      <c r="AN11" s="8" t="n">
        <v>0.707</v>
      </c>
      <c r="AO11" s="7" t="n">
        <v>125</v>
      </c>
      <c r="AP11" s="8" t="n">
        <v>0.837</v>
      </c>
      <c r="AQ11" s="7" t="n">
        <v>25</v>
      </c>
      <c r="AR11" s="8" t="n">
        <v>0.163</v>
      </c>
      <c r="AS11" s="7" t="n">
        <v>145</v>
      </c>
      <c r="AT11" s="7" t="n">
        <v>170</v>
      </c>
      <c r="AU11" s="8" t="n">
        <v>0.348</v>
      </c>
      <c r="AV11" s="7" t="n">
        <v>300</v>
      </c>
      <c r="AW11" s="8" t="n">
        <v>0.611</v>
      </c>
      <c r="AX11" s="7" t="n">
        <v>400</v>
      </c>
      <c r="AY11" s="8" t="n">
        <v>0.818</v>
      </c>
      <c r="AZ11" s="7" t="n">
        <v>435</v>
      </c>
      <c r="BA11" s="8" t="n">
        <v>0.895</v>
      </c>
      <c r="BB11" s="7" t="n">
        <v>50</v>
      </c>
      <c r="BC11" s="8" t="n">
        <v>0.105</v>
      </c>
      <c r="BD11" s="7" t="n">
        <v>490</v>
      </c>
      <c r="BE11" s="7" t="n">
        <v>165</v>
      </c>
      <c r="BF11" s="8" t="n">
        <v>0.339</v>
      </c>
      <c r="BG11" s="7" t="n">
        <v>280</v>
      </c>
      <c r="BH11" s="8" t="n">
        <v>0.582</v>
      </c>
      <c r="BI11" s="7" t="n">
        <v>385</v>
      </c>
      <c r="BJ11" s="8" t="n">
        <v>0.798</v>
      </c>
      <c r="BK11" s="7" t="n">
        <v>440</v>
      </c>
      <c r="BL11" s="8" t="n">
        <v>0.917</v>
      </c>
      <c r="BM11" s="7" t="n">
        <v>40</v>
      </c>
      <c r="BN11" s="8" t="n">
        <v>0.083</v>
      </c>
      <c r="BO11" s="7" t="n">
        <v>480</v>
      </c>
    </row>
    <row r="12" customFormat="false" ht="15" hidden="false" customHeight="false" outlineLevel="0" collapsed="false">
      <c r="A12" s="1" t="s">
        <v>55</v>
      </c>
      <c r="B12" s="7" t="n">
        <v>6600</v>
      </c>
      <c r="C12" s="8" t="n">
        <v>0.415</v>
      </c>
      <c r="D12" s="7" t="n">
        <v>9585</v>
      </c>
      <c r="E12" s="8" t="n">
        <v>0.603</v>
      </c>
      <c r="F12" s="7" t="n">
        <v>12180</v>
      </c>
      <c r="G12" s="8" t="n">
        <v>0.766</v>
      </c>
      <c r="H12" s="7" t="n">
        <v>14235</v>
      </c>
      <c r="I12" s="8" t="n">
        <v>0.896</v>
      </c>
      <c r="J12" s="7" t="n">
        <v>1660</v>
      </c>
      <c r="K12" s="8" t="n">
        <v>0.104</v>
      </c>
      <c r="L12" s="7" t="n">
        <v>15895</v>
      </c>
      <c r="M12" s="7" t="n">
        <v>6615</v>
      </c>
      <c r="N12" s="8" t="n">
        <v>0.425</v>
      </c>
      <c r="O12" s="7" t="n">
        <v>9770</v>
      </c>
      <c r="P12" s="8" t="n">
        <v>0.628</v>
      </c>
      <c r="Q12" s="7" t="n">
        <v>12120</v>
      </c>
      <c r="R12" s="8" t="n">
        <v>0.779</v>
      </c>
      <c r="S12" s="7" t="n">
        <v>14020</v>
      </c>
      <c r="T12" s="8" t="n">
        <v>0.901</v>
      </c>
      <c r="U12" s="7" t="n">
        <v>1540</v>
      </c>
      <c r="V12" s="8" t="n">
        <v>0.099</v>
      </c>
      <c r="W12" s="7" t="n">
        <v>15560</v>
      </c>
      <c r="X12" s="7" t="n">
        <v>6625</v>
      </c>
      <c r="Y12" s="8" t="n">
        <v>0.425</v>
      </c>
      <c r="Z12" s="7" t="n">
        <v>9835</v>
      </c>
      <c r="AA12" s="8" t="n">
        <v>0.631</v>
      </c>
      <c r="AB12" s="7" t="n">
        <v>12440</v>
      </c>
      <c r="AC12" s="8" t="n">
        <v>0.798</v>
      </c>
      <c r="AD12" s="7" t="n">
        <v>14300</v>
      </c>
      <c r="AE12" s="8" t="n">
        <v>0.917</v>
      </c>
      <c r="AF12" s="7" t="n">
        <v>1295</v>
      </c>
      <c r="AG12" s="8" t="n">
        <v>0.083</v>
      </c>
      <c r="AH12" s="7" t="n">
        <v>15595</v>
      </c>
      <c r="AI12" s="7" t="n">
        <v>6820</v>
      </c>
      <c r="AJ12" s="8" t="n">
        <v>0.45</v>
      </c>
      <c r="AK12" s="7" t="n">
        <v>9610</v>
      </c>
      <c r="AL12" s="8" t="n">
        <v>0.634</v>
      </c>
      <c r="AM12" s="7" t="n">
        <v>12415</v>
      </c>
      <c r="AN12" s="8" t="n">
        <v>0.819</v>
      </c>
      <c r="AO12" s="7" t="n">
        <v>14150</v>
      </c>
      <c r="AP12" s="8" t="n">
        <v>0.934</v>
      </c>
      <c r="AQ12" s="7" t="n">
        <v>1005</v>
      </c>
      <c r="AR12" s="8" t="n">
        <v>0.066</v>
      </c>
      <c r="AS12" s="7" t="n">
        <v>15155</v>
      </c>
      <c r="AT12" s="7" t="n">
        <v>6940</v>
      </c>
      <c r="AU12" s="8" t="n">
        <v>0.432</v>
      </c>
      <c r="AV12" s="7" t="n">
        <v>10655</v>
      </c>
      <c r="AW12" s="8" t="n">
        <v>0.663</v>
      </c>
      <c r="AX12" s="7" t="n">
        <v>14180</v>
      </c>
      <c r="AY12" s="8" t="n">
        <v>0.882</v>
      </c>
      <c r="AZ12" s="7" t="n">
        <v>15595</v>
      </c>
      <c r="BA12" s="8" t="n">
        <v>0.97</v>
      </c>
      <c r="BB12" s="7" t="n">
        <v>490</v>
      </c>
      <c r="BC12" s="8" t="n">
        <v>0.03</v>
      </c>
      <c r="BD12" s="7" t="n">
        <v>16080</v>
      </c>
      <c r="BE12" s="7" t="n">
        <v>5545</v>
      </c>
      <c r="BF12" s="8" t="n">
        <v>0.346</v>
      </c>
      <c r="BG12" s="7" t="n">
        <v>9005</v>
      </c>
      <c r="BH12" s="8" t="n">
        <v>0.562</v>
      </c>
      <c r="BI12" s="7" t="n">
        <v>12325</v>
      </c>
      <c r="BJ12" s="8" t="n">
        <v>0.769</v>
      </c>
      <c r="BK12" s="7" t="n">
        <v>14880</v>
      </c>
      <c r="BL12" s="8" t="n">
        <v>0.928</v>
      </c>
      <c r="BM12" s="7" t="n">
        <v>1155</v>
      </c>
      <c r="BN12" s="8" t="n">
        <v>0.072</v>
      </c>
      <c r="BO12" s="7" t="n">
        <v>16035</v>
      </c>
    </row>
    <row r="13" customFormat="false" ht="15" hidden="false" customHeight="false" outlineLevel="0" collapsed="false">
      <c r="A13" s="1" t="s">
        <v>56</v>
      </c>
      <c r="B13" s="7" t="n">
        <v>150</v>
      </c>
      <c r="C13" s="8" t="n">
        <v>0.453</v>
      </c>
      <c r="D13" s="7" t="n">
        <v>210</v>
      </c>
      <c r="E13" s="8" t="n">
        <v>0.625</v>
      </c>
      <c r="F13" s="7" t="n">
        <v>260</v>
      </c>
      <c r="G13" s="8" t="n">
        <v>0.781</v>
      </c>
      <c r="H13" s="7" t="n">
        <v>295</v>
      </c>
      <c r="I13" s="8" t="n">
        <v>0.883</v>
      </c>
      <c r="J13" s="7" t="n">
        <v>40</v>
      </c>
      <c r="K13" s="8" t="n">
        <v>0.117</v>
      </c>
      <c r="L13" s="7" t="n">
        <v>335</v>
      </c>
      <c r="M13" s="7" t="n">
        <v>125</v>
      </c>
      <c r="N13" s="8" t="n">
        <v>0.51</v>
      </c>
      <c r="O13" s="7" t="n">
        <v>160</v>
      </c>
      <c r="P13" s="8" t="n">
        <v>0.661</v>
      </c>
      <c r="Q13" s="7" t="n">
        <v>205</v>
      </c>
      <c r="R13" s="8" t="n">
        <v>0.833</v>
      </c>
      <c r="S13" s="7" t="n">
        <v>230</v>
      </c>
      <c r="T13" s="8" t="n">
        <v>0.935</v>
      </c>
      <c r="U13" s="7" t="n">
        <v>15</v>
      </c>
      <c r="V13" s="8" t="n">
        <v>0.065</v>
      </c>
      <c r="W13" s="7" t="n">
        <v>245</v>
      </c>
      <c r="X13" s="7" t="n">
        <v>90</v>
      </c>
      <c r="Y13" s="8" t="n">
        <v>0.508</v>
      </c>
      <c r="Z13" s="7" t="n">
        <v>115</v>
      </c>
      <c r="AA13" s="8" t="n">
        <v>0.635</v>
      </c>
      <c r="AB13" s="7" t="n">
        <v>145</v>
      </c>
      <c r="AC13" s="8" t="n">
        <v>0.812</v>
      </c>
      <c r="AD13" s="7" t="n">
        <v>165</v>
      </c>
      <c r="AE13" s="8" t="n">
        <v>0.923</v>
      </c>
      <c r="AF13" s="7" t="n">
        <v>15</v>
      </c>
      <c r="AG13" s="8" t="n">
        <v>0.077</v>
      </c>
      <c r="AH13" s="7" t="n">
        <v>180</v>
      </c>
      <c r="AI13" s="7" t="n">
        <v>80</v>
      </c>
      <c r="AJ13" s="8" t="s">
        <v>33</v>
      </c>
      <c r="AK13" s="7" t="n">
        <v>105</v>
      </c>
      <c r="AL13" s="8" t="s">
        <v>33</v>
      </c>
      <c r="AM13" s="7" t="n">
        <v>130</v>
      </c>
      <c r="AN13" s="8" t="s">
        <v>33</v>
      </c>
      <c r="AO13" s="7" t="n">
        <v>140</v>
      </c>
      <c r="AP13" s="8" t="s">
        <v>33</v>
      </c>
      <c r="AQ13" s="7" t="s">
        <v>33</v>
      </c>
      <c r="AR13" s="8" t="s">
        <v>33</v>
      </c>
      <c r="AS13" s="7" t="n">
        <v>145</v>
      </c>
      <c r="AT13" s="7" t="n">
        <v>70</v>
      </c>
      <c r="AU13" s="8" t="s">
        <v>33</v>
      </c>
      <c r="AV13" s="7" t="n">
        <v>105</v>
      </c>
      <c r="AW13" s="8" t="s">
        <v>33</v>
      </c>
      <c r="AX13" s="7" t="n">
        <v>120</v>
      </c>
      <c r="AY13" s="8" t="s">
        <v>33</v>
      </c>
      <c r="AZ13" s="7" t="n">
        <v>125</v>
      </c>
      <c r="BA13" s="8" t="s">
        <v>33</v>
      </c>
      <c r="BB13" s="7" t="s">
        <v>33</v>
      </c>
      <c r="BC13" s="8" t="s">
        <v>33</v>
      </c>
      <c r="BD13" s="7" t="n">
        <v>130</v>
      </c>
      <c r="BE13" s="7" t="n">
        <v>55</v>
      </c>
      <c r="BF13" s="8" t="n">
        <v>0.509</v>
      </c>
      <c r="BG13" s="7" t="n">
        <v>70</v>
      </c>
      <c r="BH13" s="8" t="n">
        <v>0.657</v>
      </c>
      <c r="BI13" s="7" t="n">
        <v>85</v>
      </c>
      <c r="BJ13" s="8" t="n">
        <v>0.796</v>
      </c>
      <c r="BK13" s="7" t="n">
        <v>100</v>
      </c>
      <c r="BL13" s="8" t="n">
        <v>0.917</v>
      </c>
      <c r="BM13" s="7" t="n">
        <v>10</v>
      </c>
      <c r="BN13" s="8" t="n">
        <v>0.083</v>
      </c>
      <c r="BO13" s="7" t="n">
        <v>110</v>
      </c>
    </row>
    <row r="14" customFormat="false" ht="15" hidden="false" customHeight="false" outlineLevel="0" collapsed="false">
      <c r="A14" s="1" t="s">
        <v>57</v>
      </c>
      <c r="B14" s="7" t="n">
        <v>3040</v>
      </c>
      <c r="C14" s="8" t="n">
        <v>0.45</v>
      </c>
      <c r="D14" s="7" t="n">
        <v>4270</v>
      </c>
      <c r="E14" s="8" t="n">
        <v>0.633</v>
      </c>
      <c r="F14" s="7" t="n">
        <v>5315</v>
      </c>
      <c r="G14" s="8" t="n">
        <v>0.788</v>
      </c>
      <c r="H14" s="7" t="n">
        <v>6050</v>
      </c>
      <c r="I14" s="8" t="n">
        <v>0.897</v>
      </c>
      <c r="J14" s="7" t="n">
        <v>695</v>
      </c>
      <c r="K14" s="8" t="n">
        <v>0.103</v>
      </c>
      <c r="L14" s="7" t="n">
        <v>6745</v>
      </c>
      <c r="M14" s="7" t="n">
        <v>2880</v>
      </c>
      <c r="N14" s="8" t="n">
        <v>0.424</v>
      </c>
      <c r="O14" s="7" t="n">
        <v>4205</v>
      </c>
      <c r="P14" s="8" t="n">
        <v>0.619</v>
      </c>
      <c r="Q14" s="7" t="n">
        <v>5350</v>
      </c>
      <c r="R14" s="8" t="n">
        <v>0.787</v>
      </c>
      <c r="S14" s="7" t="n">
        <v>6120</v>
      </c>
      <c r="T14" s="8" t="n">
        <v>0.901</v>
      </c>
      <c r="U14" s="7" t="n">
        <v>675</v>
      </c>
      <c r="V14" s="8" t="n">
        <v>0.099</v>
      </c>
      <c r="W14" s="7" t="n">
        <v>6795</v>
      </c>
      <c r="X14" s="7" t="n">
        <v>2635</v>
      </c>
      <c r="Y14" s="8" t="n">
        <v>0.409</v>
      </c>
      <c r="Z14" s="7" t="n">
        <v>3960</v>
      </c>
      <c r="AA14" s="8" t="n">
        <v>0.615</v>
      </c>
      <c r="AB14" s="7" t="n">
        <v>5020</v>
      </c>
      <c r="AC14" s="8" t="n">
        <v>0.779</v>
      </c>
      <c r="AD14" s="7" t="n">
        <v>5815</v>
      </c>
      <c r="AE14" s="8" t="n">
        <v>0.903</v>
      </c>
      <c r="AF14" s="7" t="n">
        <v>625</v>
      </c>
      <c r="AG14" s="8" t="n">
        <v>0.097</v>
      </c>
      <c r="AH14" s="7" t="n">
        <v>6440</v>
      </c>
      <c r="AI14" s="7" t="n">
        <v>2860</v>
      </c>
      <c r="AJ14" s="8" t="n">
        <v>0.455</v>
      </c>
      <c r="AK14" s="7" t="n">
        <v>4200</v>
      </c>
      <c r="AL14" s="8" t="n">
        <v>0.668</v>
      </c>
      <c r="AM14" s="7" t="n">
        <v>5425</v>
      </c>
      <c r="AN14" s="8" t="n">
        <v>0.863</v>
      </c>
      <c r="AO14" s="7" t="n">
        <v>5965</v>
      </c>
      <c r="AP14" s="8" t="n">
        <v>0.949</v>
      </c>
      <c r="AQ14" s="7" t="n">
        <v>325</v>
      </c>
      <c r="AR14" s="8" t="n">
        <v>0.051</v>
      </c>
      <c r="AS14" s="7" t="n">
        <v>6290</v>
      </c>
      <c r="AT14" s="7" t="n">
        <v>2545</v>
      </c>
      <c r="AU14" s="8" t="n">
        <v>0.409</v>
      </c>
      <c r="AV14" s="7" t="n">
        <v>4135</v>
      </c>
      <c r="AW14" s="8" t="n">
        <v>0.665</v>
      </c>
      <c r="AX14" s="7" t="n">
        <v>5595</v>
      </c>
      <c r="AY14" s="8" t="n">
        <v>0.9</v>
      </c>
      <c r="AZ14" s="7" t="n">
        <v>6010</v>
      </c>
      <c r="BA14" s="8" t="n">
        <v>0.967</v>
      </c>
      <c r="BB14" s="7" t="n">
        <v>205</v>
      </c>
      <c r="BC14" s="8" t="n">
        <v>0.033</v>
      </c>
      <c r="BD14" s="7" t="n">
        <v>6215</v>
      </c>
      <c r="BE14" s="7" t="n">
        <v>2000</v>
      </c>
      <c r="BF14" s="8" t="n">
        <v>0.315</v>
      </c>
      <c r="BG14" s="7" t="n">
        <v>3420</v>
      </c>
      <c r="BH14" s="8" t="n">
        <v>0.539</v>
      </c>
      <c r="BI14" s="7" t="n">
        <v>4740</v>
      </c>
      <c r="BJ14" s="8" t="n">
        <v>0.747</v>
      </c>
      <c r="BK14" s="7" t="n">
        <v>5645</v>
      </c>
      <c r="BL14" s="8" t="n">
        <v>0.89</v>
      </c>
      <c r="BM14" s="7" t="n">
        <v>700</v>
      </c>
      <c r="BN14" s="8" t="n">
        <v>0.11</v>
      </c>
      <c r="BO14" s="7" t="n">
        <v>6345</v>
      </c>
    </row>
    <row r="15" customFormat="false" ht="15" hidden="false" customHeight="false" outlineLevel="0" collapsed="false">
      <c r="A15" s="1" t="s">
        <v>82</v>
      </c>
      <c r="B15" s="7" t="n">
        <v>20</v>
      </c>
      <c r="C15" s="8" t="n">
        <v>0.588</v>
      </c>
      <c r="D15" s="7" t="n">
        <v>25</v>
      </c>
      <c r="E15" s="8" t="n">
        <v>0.735</v>
      </c>
      <c r="F15" s="7" t="n">
        <v>30</v>
      </c>
      <c r="G15" s="8" t="n">
        <v>0.941</v>
      </c>
      <c r="H15" s="7" t="n">
        <v>35</v>
      </c>
      <c r="I15" s="8" t="n">
        <v>1</v>
      </c>
      <c r="J15" s="7" t="n">
        <v>0</v>
      </c>
      <c r="K15" s="8" t="n">
        <v>0</v>
      </c>
      <c r="L15" s="7" t="n">
        <v>35</v>
      </c>
      <c r="M15" s="7" t="n">
        <v>10</v>
      </c>
      <c r="N15" s="8" t="s">
        <v>33</v>
      </c>
      <c r="O15" s="7" t="n">
        <v>15</v>
      </c>
      <c r="P15" s="8" t="s">
        <v>33</v>
      </c>
      <c r="Q15" s="7" t="n">
        <v>20</v>
      </c>
      <c r="R15" s="8" t="s">
        <v>33</v>
      </c>
      <c r="S15" s="7" t="n">
        <v>20</v>
      </c>
      <c r="T15" s="8" t="s">
        <v>33</v>
      </c>
      <c r="U15" s="7" t="s">
        <v>33</v>
      </c>
      <c r="V15" s="8" t="s">
        <v>33</v>
      </c>
      <c r="W15" s="7" t="n">
        <v>20</v>
      </c>
      <c r="X15" s="7" t="n">
        <v>15</v>
      </c>
      <c r="Y15" s="8" t="n">
        <v>0.5</v>
      </c>
      <c r="Z15" s="7" t="n">
        <v>20</v>
      </c>
      <c r="AA15" s="8" t="n">
        <v>0.692</v>
      </c>
      <c r="AB15" s="7" t="n">
        <v>20</v>
      </c>
      <c r="AC15" s="8" t="n">
        <v>0.846</v>
      </c>
      <c r="AD15" s="7" t="n">
        <v>25</v>
      </c>
      <c r="AE15" s="8" t="n">
        <v>1</v>
      </c>
      <c r="AF15" s="7" t="n">
        <v>0</v>
      </c>
      <c r="AG15" s="8" t="n">
        <v>0</v>
      </c>
      <c r="AH15" s="7" t="n">
        <v>25</v>
      </c>
      <c r="AI15" s="7" t="n">
        <v>20</v>
      </c>
      <c r="AJ15" s="8" t="n">
        <v>0.462</v>
      </c>
      <c r="AK15" s="7" t="n">
        <v>25</v>
      </c>
      <c r="AL15" s="8" t="n">
        <v>0.615</v>
      </c>
      <c r="AM15" s="7" t="n">
        <v>35</v>
      </c>
      <c r="AN15" s="8" t="n">
        <v>0.923</v>
      </c>
      <c r="AO15" s="7" t="n">
        <v>40</v>
      </c>
      <c r="AP15" s="8" t="n">
        <v>1</v>
      </c>
      <c r="AQ15" s="7" t="n">
        <v>0</v>
      </c>
      <c r="AR15" s="8" t="n">
        <v>0</v>
      </c>
      <c r="AS15" s="7" t="n">
        <v>40</v>
      </c>
      <c r="AT15" s="7" t="n">
        <v>20</v>
      </c>
      <c r="AU15" s="8" t="s">
        <v>33</v>
      </c>
      <c r="AV15" s="7" t="n">
        <v>25</v>
      </c>
      <c r="AW15" s="8" t="s">
        <v>33</v>
      </c>
      <c r="AX15" s="7" t="n">
        <v>30</v>
      </c>
      <c r="AY15" s="8" t="s">
        <v>33</v>
      </c>
      <c r="AZ15" s="7" t="n">
        <v>35</v>
      </c>
      <c r="BA15" s="8" t="s">
        <v>33</v>
      </c>
      <c r="BB15" s="7" t="s">
        <v>33</v>
      </c>
      <c r="BC15" s="8" t="s">
        <v>33</v>
      </c>
      <c r="BD15" s="7" t="n">
        <v>35</v>
      </c>
      <c r="BE15" s="7" t="n">
        <v>15</v>
      </c>
      <c r="BF15" s="8" t="s">
        <v>33</v>
      </c>
      <c r="BG15" s="7" t="n">
        <v>25</v>
      </c>
      <c r="BH15" s="8" t="s">
        <v>33</v>
      </c>
      <c r="BI15" s="7" t="n">
        <v>35</v>
      </c>
      <c r="BJ15" s="8" t="s">
        <v>33</v>
      </c>
      <c r="BK15" s="7" t="n">
        <v>35</v>
      </c>
      <c r="BL15" s="8" t="s">
        <v>33</v>
      </c>
      <c r="BM15" s="7" t="s">
        <v>33</v>
      </c>
      <c r="BN15" s="8" t="s">
        <v>33</v>
      </c>
      <c r="BO15" s="7" t="n">
        <v>40</v>
      </c>
    </row>
    <row r="16" customFormat="false" ht="15" hidden="false" customHeight="false" outlineLevel="0" collapsed="false">
      <c r="A16" s="1" t="s">
        <v>158</v>
      </c>
      <c r="B16" s="7" t="n">
        <v>255</v>
      </c>
      <c r="C16" s="8" t="n">
        <v>0.307</v>
      </c>
      <c r="D16" s="7" t="n">
        <v>475</v>
      </c>
      <c r="E16" s="8" t="n">
        <v>0.575</v>
      </c>
      <c r="F16" s="7" t="n">
        <v>640</v>
      </c>
      <c r="G16" s="8" t="n">
        <v>0.779</v>
      </c>
      <c r="H16" s="7" t="n">
        <v>755</v>
      </c>
      <c r="I16" s="8" t="n">
        <v>0.915</v>
      </c>
      <c r="J16" s="7" t="n">
        <v>70</v>
      </c>
      <c r="K16" s="8" t="n">
        <v>0.085</v>
      </c>
      <c r="L16" s="7" t="n">
        <v>825</v>
      </c>
      <c r="M16" s="7" t="n">
        <v>235</v>
      </c>
      <c r="N16" s="8" t="n">
        <v>0.309</v>
      </c>
      <c r="O16" s="7" t="n">
        <v>445</v>
      </c>
      <c r="P16" s="8" t="n">
        <v>0.582</v>
      </c>
      <c r="Q16" s="7" t="n">
        <v>620</v>
      </c>
      <c r="R16" s="8" t="n">
        <v>0.807</v>
      </c>
      <c r="S16" s="7" t="n">
        <v>720</v>
      </c>
      <c r="T16" s="8" t="n">
        <v>0.937</v>
      </c>
      <c r="U16" s="7" t="n">
        <v>50</v>
      </c>
      <c r="V16" s="8" t="n">
        <v>0.063</v>
      </c>
      <c r="W16" s="7" t="n">
        <v>765</v>
      </c>
      <c r="X16" s="7" t="n">
        <v>250</v>
      </c>
      <c r="Y16" s="8" t="n">
        <v>0.328</v>
      </c>
      <c r="Z16" s="7" t="n">
        <v>435</v>
      </c>
      <c r="AA16" s="8" t="n">
        <v>0.57</v>
      </c>
      <c r="AB16" s="7" t="n">
        <v>615</v>
      </c>
      <c r="AC16" s="8" t="n">
        <v>0.81</v>
      </c>
      <c r="AD16" s="7" t="n">
        <v>720</v>
      </c>
      <c r="AE16" s="8" t="n">
        <v>0.946</v>
      </c>
      <c r="AF16" s="7" t="n">
        <v>40</v>
      </c>
      <c r="AG16" s="8" t="n">
        <v>0.054</v>
      </c>
      <c r="AH16" s="7" t="n">
        <v>760</v>
      </c>
      <c r="AI16" s="7" t="n">
        <v>415</v>
      </c>
      <c r="AJ16" s="8" t="n">
        <v>0.508</v>
      </c>
      <c r="AK16" s="7" t="n">
        <v>580</v>
      </c>
      <c r="AL16" s="8" t="n">
        <v>0.715</v>
      </c>
      <c r="AM16" s="7" t="n">
        <v>740</v>
      </c>
      <c r="AN16" s="8" t="n">
        <v>0.91</v>
      </c>
      <c r="AO16" s="7" t="n">
        <v>790</v>
      </c>
      <c r="AP16" s="8" t="n">
        <v>0.973</v>
      </c>
      <c r="AQ16" s="7" t="n">
        <v>20</v>
      </c>
      <c r="AR16" s="8" t="n">
        <v>0.027</v>
      </c>
      <c r="AS16" s="7" t="n">
        <v>815</v>
      </c>
      <c r="AT16" s="7" t="n">
        <v>485</v>
      </c>
      <c r="AU16" s="8" t="n">
        <v>0.558</v>
      </c>
      <c r="AV16" s="7" t="n">
        <v>695</v>
      </c>
      <c r="AW16" s="8" t="n">
        <v>0.801</v>
      </c>
      <c r="AX16" s="7" t="n">
        <v>830</v>
      </c>
      <c r="AY16" s="8" t="n">
        <v>0.957</v>
      </c>
      <c r="AZ16" s="7" t="n">
        <v>855</v>
      </c>
      <c r="BA16" s="8" t="n">
        <v>0.99</v>
      </c>
      <c r="BB16" s="7" t="n">
        <v>10</v>
      </c>
      <c r="BC16" s="8" t="n">
        <v>0.01</v>
      </c>
      <c r="BD16" s="7" t="n">
        <v>865</v>
      </c>
      <c r="BE16" s="7" t="n">
        <v>285</v>
      </c>
      <c r="BF16" s="8" t="n">
        <v>0.41</v>
      </c>
      <c r="BG16" s="7" t="n">
        <v>465</v>
      </c>
      <c r="BH16" s="8" t="n">
        <v>0.668</v>
      </c>
      <c r="BI16" s="7" t="n">
        <v>605</v>
      </c>
      <c r="BJ16" s="8" t="n">
        <v>0.873</v>
      </c>
      <c r="BK16" s="7" t="n">
        <v>665</v>
      </c>
      <c r="BL16" s="8" t="n">
        <v>0.96</v>
      </c>
      <c r="BM16" s="7" t="n">
        <v>30</v>
      </c>
      <c r="BN16" s="8" t="n">
        <v>0.04</v>
      </c>
      <c r="BO16" s="7" t="n">
        <v>695</v>
      </c>
    </row>
    <row r="17" customFormat="false" ht="15" hidden="false" customHeight="false" outlineLevel="0" collapsed="false">
      <c r="A17" s="1" t="s">
        <v>83</v>
      </c>
      <c r="B17" s="7" t="n">
        <v>1105</v>
      </c>
      <c r="C17" s="8" t="n">
        <v>0.268</v>
      </c>
      <c r="D17" s="7" t="n">
        <v>2090</v>
      </c>
      <c r="E17" s="8" t="n">
        <v>0.507</v>
      </c>
      <c r="F17" s="7" t="n">
        <v>3070</v>
      </c>
      <c r="G17" s="8" t="n">
        <v>0.745</v>
      </c>
      <c r="H17" s="7" t="n">
        <v>3690</v>
      </c>
      <c r="I17" s="8" t="n">
        <v>0.895</v>
      </c>
      <c r="J17" s="7" t="n">
        <v>430</v>
      </c>
      <c r="K17" s="8" t="n">
        <v>0.105</v>
      </c>
      <c r="L17" s="7" t="n">
        <v>4120</v>
      </c>
      <c r="M17" s="7" t="n">
        <v>975</v>
      </c>
      <c r="N17" s="8" t="n">
        <v>0.229</v>
      </c>
      <c r="O17" s="7" t="n">
        <v>2100</v>
      </c>
      <c r="P17" s="8" t="n">
        <v>0.492</v>
      </c>
      <c r="Q17" s="7" t="n">
        <v>3265</v>
      </c>
      <c r="R17" s="8" t="n">
        <v>0.767</v>
      </c>
      <c r="S17" s="7" t="n">
        <v>3960</v>
      </c>
      <c r="T17" s="8" t="n">
        <v>0.929</v>
      </c>
      <c r="U17" s="7" t="n">
        <v>300</v>
      </c>
      <c r="V17" s="8" t="n">
        <v>0.071</v>
      </c>
      <c r="W17" s="7" t="n">
        <v>4260</v>
      </c>
      <c r="X17" s="7" t="n">
        <v>1085</v>
      </c>
      <c r="Y17" s="8" t="n">
        <v>0.246</v>
      </c>
      <c r="Z17" s="7" t="n">
        <v>2390</v>
      </c>
      <c r="AA17" s="8" t="n">
        <v>0.542</v>
      </c>
      <c r="AB17" s="7" t="n">
        <v>3560</v>
      </c>
      <c r="AC17" s="8" t="n">
        <v>0.807</v>
      </c>
      <c r="AD17" s="7" t="n">
        <v>4160</v>
      </c>
      <c r="AE17" s="8" t="n">
        <v>0.943</v>
      </c>
      <c r="AF17" s="7" t="n">
        <v>250</v>
      </c>
      <c r="AG17" s="8" t="n">
        <v>0.057</v>
      </c>
      <c r="AH17" s="7" t="n">
        <v>4415</v>
      </c>
      <c r="AI17" s="7" t="n">
        <v>1510</v>
      </c>
      <c r="AJ17" s="8" t="n">
        <v>0.335</v>
      </c>
      <c r="AK17" s="7" t="n">
        <v>2680</v>
      </c>
      <c r="AL17" s="8" t="n">
        <v>0.595</v>
      </c>
      <c r="AM17" s="7" t="n">
        <v>3890</v>
      </c>
      <c r="AN17" s="8" t="n">
        <v>0.864</v>
      </c>
      <c r="AO17" s="7" t="n">
        <v>4355</v>
      </c>
      <c r="AP17" s="8" t="n">
        <v>0.966</v>
      </c>
      <c r="AQ17" s="7" t="n">
        <v>155</v>
      </c>
      <c r="AR17" s="8" t="n">
        <v>0.034</v>
      </c>
      <c r="AS17" s="7" t="n">
        <v>4505</v>
      </c>
      <c r="AT17" s="7" t="n">
        <v>1315</v>
      </c>
      <c r="AU17" s="8" t="n">
        <v>0.286</v>
      </c>
      <c r="AV17" s="7" t="n">
        <v>2725</v>
      </c>
      <c r="AW17" s="8" t="n">
        <v>0.592</v>
      </c>
      <c r="AX17" s="7" t="n">
        <v>4165</v>
      </c>
      <c r="AY17" s="8" t="n">
        <v>0.906</v>
      </c>
      <c r="AZ17" s="7" t="n">
        <v>4520</v>
      </c>
      <c r="BA17" s="8" t="n">
        <v>0.983</v>
      </c>
      <c r="BB17" s="7" t="n">
        <v>80</v>
      </c>
      <c r="BC17" s="8" t="n">
        <v>0.017</v>
      </c>
      <c r="BD17" s="7" t="n">
        <v>4600</v>
      </c>
      <c r="BE17" s="7" t="n">
        <v>810</v>
      </c>
      <c r="BF17" s="8" t="n">
        <v>0.181</v>
      </c>
      <c r="BG17" s="7" t="n">
        <v>1940</v>
      </c>
      <c r="BH17" s="8" t="n">
        <v>0.433</v>
      </c>
      <c r="BI17" s="7" t="n">
        <v>3155</v>
      </c>
      <c r="BJ17" s="8" t="n">
        <v>0.704</v>
      </c>
      <c r="BK17" s="7" t="n">
        <v>3990</v>
      </c>
      <c r="BL17" s="8" t="n">
        <v>0.891</v>
      </c>
      <c r="BM17" s="7" t="n">
        <v>490</v>
      </c>
      <c r="BN17" s="8" t="n">
        <v>0.109</v>
      </c>
      <c r="BO17" s="7" t="n">
        <v>4480</v>
      </c>
    </row>
    <row r="18" customFormat="false" ht="15" hidden="false" customHeight="false" outlineLevel="0" collapsed="false">
      <c r="A18" s="1" t="s">
        <v>59</v>
      </c>
      <c r="B18" s="7" t="n">
        <v>2665</v>
      </c>
      <c r="C18" s="8" t="n">
        <v>0.562</v>
      </c>
      <c r="D18" s="7" t="n">
        <v>3785</v>
      </c>
      <c r="E18" s="8" t="n">
        <v>0.799</v>
      </c>
      <c r="F18" s="7" t="n">
        <v>4415</v>
      </c>
      <c r="G18" s="8" t="n">
        <v>0.931</v>
      </c>
      <c r="H18" s="7" t="n">
        <v>4640</v>
      </c>
      <c r="I18" s="8" t="n">
        <v>0.979</v>
      </c>
      <c r="J18" s="7" t="n">
        <v>100</v>
      </c>
      <c r="K18" s="8" t="n">
        <v>0.021</v>
      </c>
      <c r="L18" s="7" t="n">
        <v>4740</v>
      </c>
      <c r="M18" s="7" t="n">
        <v>2535</v>
      </c>
      <c r="N18" s="8" t="n">
        <v>0.548</v>
      </c>
      <c r="O18" s="7" t="n">
        <v>3635</v>
      </c>
      <c r="P18" s="8" t="n">
        <v>0.786</v>
      </c>
      <c r="Q18" s="7" t="n">
        <v>4260</v>
      </c>
      <c r="R18" s="8" t="n">
        <v>0.921</v>
      </c>
      <c r="S18" s="7" t="n">
        <v>4520</v>
      </c>
      <c r="T18" s="8" t="n">
        <v>0.978</v>
      </c>
      <c r="U18" s="7" t="n">
        <v>100</v>
      </c>
      <c r="V18" s="8" t="n">
        <v>0.022</v>
      </c>
      <c r="W18" s="7" t="n">
        <v>4625</v>
      </c>
      <c r="X18" s="7" t="n">
        <v>2905</v>
      </c>
      <c r="Y18" s="8" t="n">
        <v>0.636</v>
      </c>
      <c r="Z18" s="7" t="n">
        <v>3855</v>
      </c>
      <c r="AA18" s="8" t="n">
        <v>0.843</v>
      </c>
      <c r="AB18" s="7" t="n">
        <v>4315</v>
      </c>
      <c r="AC18" s="8" t="n">
        <v>0.944</v>
      </c>
      <c r="AD18" s="7" t="n">
        <v>4490</v>
      </c>
      <c r="AE18" s="8" t="n">
        <v>0.982</v>
      </c>
      <c r="AF18" s="7" t="n">
        <v>80</v>
      </c>
      <c r="AG18" s="8" t="n">
        <v>0.018</v>
      </c>
      <c r="AH18" s="7" t="n">
        <v>4570</v>
      </c>
      <c r="AI18" s="7" t="n">
        <v>3005</v>
      </c>
      <c r="AJ18" s="8" t="n">
        <v>0.62</v>
      </c>
      <c r="AK18" s="7" t="n">
        <v>3975</v>
      </c>
      <c r="AL18" s="8" t="n">
        <v>0.82</v>
      </c>
      <c r="AM18" s="7" t="n">
        <v>4630</v>
      </c>
      <c r="AN18" s="8" t="n">
        <v>0.955</v>
      </c>
      <c r="AO18" s="7" t="n">
        <v>4770</v>
      </c>
      <c r="AP18" s="8" t="n">
        <v>0.983</v>
      </c>
      <c r="AQ18" s="7" t="n">
        <v>80</v>
      </c>
      <c r="AR18" s="8" t="n">
        <v>0.017</v>
      </c>
      <c r="AS18" s="7" t="n">
        <v>4850</v>
      </c>
      <c r="AT18" s="7" t="n">
        <v>3075</v>
      </c>
      <c r="AU18" s="8" t="n">
        <v>0.602</v>
      </c>
      <c r="AV18" s="7" t="n">
        <v>4275</v>
      </c>
      <c r="AW18" s="8" t="n">
        <v>0.837</v>
      </c>
      <c r="AX18" s="7" t="n">
        <v>4965</v>
      </c>
      <c r="AY18" s="8" t="n">
        <v>0.973</v>
      </c>
      <c r="AZ18" s="7" t="n">
        <v>5065</v>
      </c>
      <c r="BA18" s="8" t="n">
        <v>0.992</v>
      </c>
      <c r="BB18" s="7" t="n">
        <v>45</v>
      </c>
      <c r="BC18" s="8" t="n">
        <v>0.008</v>
      </c>
      <c r="BD18" s="7" t="n">
        <v>5105</v>
      </c>
      <c r="BE18" s="7" t="n">
        <v>2860</v>
      </c>
      <c r="BF18" s="8" t="n">
        <v>0.588</v>
      </c>
      <c r="BG18" s="7" t="n">
        <v>3905</v>
      </c>
      <c r="BH18" s="8" t="n">
        <v>0.802</v>
      </c>
      <c r="BI18" s="7" t="n">
        <v>4550</v>
      </c>
      <c r="BJ18" s="8" t="n">
        <v>0.935</v>
      </c>
      <c r="BK18" s="7" t="n">
        <v>4780</v>
      </c>
      <c r="BL18" s="8" t="n">
        <v>0.983</v>
      </c>
      <c r="BM18" s="7" t="n">
        <v>85</v>
      </c>
      <c r="BN18" s="8" t="n">
        <v>0.017</v>
      </c>
      <c r="BO18" s="7" t="n">
        <v>4865</v>
      </c>
    </row>
    <row r="19" customFormat="false" ht="15" hidden="false" customHeight="false" outlineLevel="0" collapsed="false">
      <c r="A19" s="1" t="s">
        <v>84</v>
      </c>
      <c r="B19" s="7" t="n">
        <v>25</v>
      </c>
      <c r="C19" s="8" t="s">
        <v>33</v>
      </c>
      <c r="D19" s="7" t="n">
        <v>25</v>
      </c>
      <c r="E19" s="8" t="s">
        <v>33</v>
      </c>
      <c r="F19" s="7" t="n">
        <v>35</v>
      </c>
      <c r="G19" s="8" t="s">
        <v>33</v>
      </c>
      <c r="H19" s="7" t="n">
        <v>40</v>
      </c>
      <c r="I19" s="8" t="s">
        <v>33</v>
      </c>
      <c r="J19" s="7" t="s">
        <v>33</v>
      </c>
      <c r="K19" s="8" t="s">
        <v>33</v>
      </c>
      <c r="L19" s="7" t="n">
        <v>40</v>
      </c>
      <c r="M19" s="7" t="n">
        <v>20</v>
      </c>
      <c r="N19" s="8" t="n">
        <v>0.581</v>
      </c>
      <c r="O19" s="7" t="n">
        <v>25</v>
      </c>
      <c r="P19" s="8" t="n">
        <v>0.774</v>
      </c>
      <c r="Q19" s="7" t="n">
        <v>30</v>
      </c>
      <c r="R19" s="8" t="n">
        <v>0.968</v>
      </c>
      <c r="S19" s="7" t="n">
        <v>30</v>
      </c>
      <c r="T19" s="8" t="n">
        <v>1</v>
      </c>
      <c r="U19" s="7" t="n">
        <v>0</v>
      </c>
      <c r="V19" s="8" t="n">
        <v>0</v>
      </c>
      <c r="W19" s="7" t="n">
        <v>30</v>
      </c>
      <c r="X19" s="7" t="n">
        <v>20</v>
      </c>
      <c r="Y19" s="8" t="s">
        <v>33</v>
      </c>
      <c r="Z19" s="7" t="n">
        <v>35</v>
      </c>
      <c r="AA19" s="8" t="s">
        <v>33</v>
      </c>
      <c r="AB19" s="7" t="n">
        <v>45</v>
      </c>
      <c r="AC19" s="8" t="s">
        <v>33</v>
      </c>
      <c r="AD19" s="7" t="n">
        <v>50</v>
      </c>
      <c r="AE19" s="8" t="s">
        <v>33</v>
      </c>
      <c r="AF19" s="7" t="s">
        <v>33</v>
      </c>
      <c r="AG19" s="8" t="s">
        <v>33</v>
      </c>
      <c r="AH19" s="7" t="n">
        <v>50</v>
      </c>
      <c r="AI19" s="7" t="n">
        <v>25</v>
      </c>
      <c r="AJ19" s="8" t="n">
        <v>0.628</v>
      </c>
      <c r="AK19" s="7" t="n">
        <v>35</v>
      </c>
      <c r="AL19" s="8" t="n">
        <v>0.837</v>
      </c>
      <c r="AM19" s="7" t="n">
        <v>40</v>
      </c>
      <c r="AN19" s="8" t="n">
        <v>0.953</v>
      </c>
      <c r="AO19" s="7" t="n">
        <v>45</v>
      </c>
      <c r="AP19" s="8" t="n">
        <v>1</v>
      </c>
      <c r="AQ19" s="7" t="n">
        <v>0</v>
      </c>
      <c r="AR19" s="8" t="n">
        <v>0</v>
      </c>
      <c r="AS19" s="7" t="n">
        <v>45</v>
      </c>
      <c r="AT19" s="7" t="n">
        <v>15</v>
      </c>
      <c r="AU19" s="8" t="n">
        <v>0.5</v>
      </c>
      <c r="AV19" s="7" t="n">
        <v>20</v>
      </c>
      <c r="AW19" s="8" t="n">
        <v>0.714</v>
      </c>
      <c r="AX19" s="7" t="n">
        <v>25</v>
      </c>
      <c r="AY19" s="8" t="n">
        <v>0.929</v>
      </c>
      <c r="AZ19" s="7" t="n">
        <v>30</v>
      </c>
      <c r="BA19" s="8" t="n">
        <v>1</v>
      </c>
      <c r="BB19" s="7" t="n">
        <v>0</v>
      </c>
      <c r="BC19" s="8" t="n">
        <v>0</v>
      </c>
      <c r="BD19" s="7" t="n">
        <v>30</v>
      </c>
      <c r="BE19" s="7" t="n">
        <v>5</v>
      </c>
      <c r="BF19" s="8" t="n">
        <v>0.233</v>
      </c>
      <c r="BG19" s="7" t="n">
        <v>15</v>
      </c>
      <c r="BH19" s="8" t="n">
        <v>0.533</v>
      </c>
      <c r="BI19" s="7" t="n">
        <v>25</v>
      </c>
      <c r="BJ19" s="8" t="n">
        <v>0.833</v>
      </c>
      <c r="BK19" s="7" t="n">
        <v>30</v>
      </c>
      <c r="BL19" s="8" t="n">
        <v>1</v>
      </c>
      <c r="BM19" s="7" t="n">
        <v>0</v>
      </c>
      <c r="BN19" s="8" t="n">
        <v>0</v>
      </c>
      <c r="BO19" s="7" t="n">
        <v>30</v>
      </c>
    </row>
    <row r="20" customFormat="false" ht="15" hidden="false" customHeight="false" outlineLevel="0" collapsed="false">
      <c r="A20" s="1" t="s">
        <v>159</v>
      </c>
      <c r="B20" s="7" t="n">
        <v>310</v>
      </c>
      <c r="C20" s="8" t="n">
        <v>0.697</v>
      </c>
      <c r="D20" s="7" t="n">
        <v>370</v>
      </c>
      <c r="E20" s="8" t="n">
        <v>0.83</v>
      </c>
      <c r="F20" s="7" t="n">
        <v>400</v>
      </c>
      <c r="G20" s="8" t="n">
        <v>0.892</v>
      </c>
      <c r="H20" s="7" t="n">
        <v>425</v>
      </c>
      <c r="I20" s="8" t="n">
        <v>0.948</v>
      </c>
      <c r="J20" s="7" t="n">
        <v>25</v>
      </c>
      <c r="K20" s="8" t="n">
        <v>0.052</v>
      </c>
      <c r="L20" s="7" t="n">
        <v>445</v>
      </c>
      <c r="M20" s="7" t="n">
        <v>295</v>
      </c>
      <c r="N20" s="8" t="n">
        <v>0.6</v>
      </c>
      <c r="O20" s="7" t="n">
        <v>395</v>
      </c>
      <c r="P20" s="8" t="n">
        <v>0.808</v>
      </c>
      <c r="Q20" s="7" t="n">
        <v>440</v>
      </c>
      <c r="R20" s="8" t="n">
        <v>0.894</v>
      </c>
      <c r="S20" s="7" t="n">
        <v>465</v>
      </c>
      <c r="T20" s="8" t="n">
        <v>0.947</v>
      </c>
      <c r="U20" s="7" t="n">
        <v>25</v>
      </c>
      <c r="V20" s="8" t="n">
        <v>0.053</v>
      </c>
      <c r="W20" s="7" t="n">
        <v>490</v>
      </c>
      <c r="X20" s="7" t="n">
        <v>240</v>
      </c>
      <c r="Y20" s="8" t="n">
        <v>0.724</v>
      </c>
      <c r="Z20" s="7" t="n">
        <v>290</v>
      </c>
      <c r="AA20" s="8" t="n">
        <v>0.874</v>
      </c>
      <c r="AB20" s="7" t="n">
        <v>310</v>
      </c>
      <c r="AC20" s="8" t="n">
        <v>0.931</v>
      </c>
      <c r="AD20" s="7" t="n">
        <v>320</v>
      </c>
      <c r="AE20" s="8" t="n">
        <v>0.958</v>
      </c>
      <c r="AF20" s="7" t="n">
        <v>15</v>
      </c>
      <c r="AG20" s="8" t="n">
        <v>0.042</v>
      </c>
      <c r="AH20" s="7" t="n">
        <v>335</v>
      </c>
      <c r="AI20" s="7" t="n">
        <v>245</v>
      </c>
      <c r="AJ20" s="8" t="n">
        <v>0.818</v>
      </c>
      <c r="AK20" s="7" t="n">
        <v>270</v>
      </c>
      <c r="AL20" s="8" t="n">
        <v>0.912</v>
      </c>
      <c r="AM20" s="7" t="n">
        <v>290</v>
      </c>
      <c r="AN20" s="8" t="n">
        <v>0.976</v>
      </c>
      <c r="AO20" s="7" t="n">
        <v>290</v>
      </c>
      <c r="AP20" s="8" t="n">
        <v>0.983</v>
      </c>
      <c r="AQ20" s="7" t="n">
        <v>5</v>
      </c>
      <c r="AR20" s="8" t="n">
        <v>0.017</v>
      </c>
      <c r="AS20" s="7" t="n">
        <v>295</v>
      </c>
      <c r="AT20" s="7" t="n">
        <v>225</v>
      </c>
      <c r="AU20" s="8" t="s">
        <v>33</v>
      </c>
      <c r="AV20" s="7" t="n">
        <v>280</v>
      </c>
      <c r="AW20" s="8" t="s">
        <v>33</v>
      </c>
      <c r="AX20" s="7" t="n">
        <v>305</v>
      </c>
      <c r="AY20" s="8" t="s">
        <v>33</v>
      </c>
      <c r="AZ20" s="7" t="n">
        <v>310</v>
      </c>
      <c r="BA20" s="8" t="s">
        <v>33</v>
      </c>
      <c r="BB20" s="7" t="s">
        <v>33</v>
      </c>
      <c r="BC20" s="8" t="s">
        <v>33</v>
      </c>
      <c r="BD20" s="7" t="n">
        <v>310</v>
      </c>
      <c r="BE20" s="7" t="n">
        <v>175</v>
      </c>
      <c r="BF20" s="8" t="n">
        <v>0.649</v>
      </c>
      <c r="BG20" s="7" t="n">
        <v>215</v>
      </c>
      <c r="BH20" s="8" t="n">
        <v>0.81</v>
      </c>
      <c r="BI20" s="7" t="n">
        <v>245</v>
      </c>
      <c r="BJ20" s="8" t="n">
        <v>0.907</v>
      </c>
      <c r="BK20" s="7" t="n">
        <v>260</v>
      </c>
      <c r="BL20" s="8" t="n">
        <v>0.974</v>
      </c>
      <c r="BM20" s="7" t="n">
        <v>5</v>
      </c>
      <c r="BN20" s="8" t="n">
        <v>0.026</v>
      </c>
      <c r="BO20" s="7" t="n">
        <v>270</v>
      </c>
    </row>
    <row r="21" customFormat="false" ht="15" hidden="false" customHeight="false" outlineLevel="0" collapsed="false">
      <c r="A21" s="1" t="s">
        <v>85</v>
      </c>
      <c r="B21" s="7" t="n">
        <v>985</v>
      </c>
      <c r="C21" s="8" t="n">
        <v>0.493</v>
      </c>
      <c r="D21" s="7" t="n">
        <v>1305</v>
      </c>
      <c r="E21" s="8" t="n">
        <v>0.651</v>
      </c>
      <c r="F21" s="7" t="n">
        <v>1595</v>
      </c>
      <c r="G21" s="8" t="n">
        <v>0.797</v>
      </c>
      <c r="H21" s="7" t="n">
        <v>1760</v>
      </c>
      <c r="I21" s="8" t="n">
        <v>0.88</v>
      </c>
      <c r="J21" s="7" t="n">
        <v>240</v>
      </c>
      <c r="K21" s="8" t="n">
        <v>0.12</v>
      </c>
      <c r="L21" s="7" t="n">
        <v>2000</v>
      </c>
      <c r="M21" s="7" t="n">
        <v>970</v>
      </c>
      <c r="N21" s="8" t="n">
        <v>0.516</v>
      </c>
      <c r="O21" s="7" t="n">
        <v>1300</v>
      </c>
      <c r="P21" s="8" t="n">
        <v>0.692</v>
      </c>
      <c r="Q21" s="7" t="n">
        <v>1580</v>
      </c>
      <c r="R21" s="8" t="n">
        <v>0.843</v>
      </c>
      <c r="S21" s="7" t="n">
        <v>1735</v>
      </c>
      <c r="T21" s="8" t="n">
        <v>0.926</v>
      </c>
      <c r="U21" s="7" t="n">
        <v>140</v>
      </c>
      <c r="V21" s="8" t="n">
        <v>0.074</v>
      </c>
      <c r="W21" s="7" t="n">
        <v>1875</v>
      </c>
      <c r="X21" s="7" t="n">
        <v>995</v>
      </c>
      <c r="Y21" s="8" t="n">
        <v>0.571</v>
      </c>
      <c r="Z21" s="7" t="n">
        <v>1300</v>
      </c>
      <c r="AA21" s="8" t="n">
        <v>0.746</v>
      </c>
      <c r="AB21" s="7" t="n">
        <v>1490</v>
      </c>
      <c r="AC21" s="8" t="n">
        <v>0.855</v>
      </c>
      <c r="AD21" s="7" t="n">
        <v>1635</v>
      </c>
      <c r="AE21" s="8" t="n">
        <v>0.937</v>
      </c>
      <c r="AF21" s="7" t="n">
        <v>110</v>
      </c>
      <c r="AG21" s="8" t="n">
        <v>0.063</v>
      </c>
      <c r="AH21" s="7" t="n">
        <v>1745</v>
      </c>
      <c r="AI21" s="7" t="n">
        <v>965</v>
      </c>
      <c r="AJ21" s="8" t="n">
        <v>0.528</v>
      </c>
      <c r="AK21" s="7" t="n">
        <v>1280</v>
      </c>
      <c r="AL21" s="8" t="n">
        <v>0.701</v>
      </c>
      <c r="AM21" s="7" t="n">
        <v>1575</v>
      </c>
      <c r="AN21" s="8" t="n">
        <v>0.86</v>
      </c>
      <c r="AO21" s="7" t="n">
        <v>1725</v>
      </c>
      <c r="AP21" s="8" t="n">
        <v>0.944</v>
      </c>
      <c r="AQ21" s="7" t="n">
        <v>105</v>
      </c>
      <c r="AR21" s="8" t="n">
        <v>0.056</v>
      </c>
      <c r="AS21" s="7" t="n">
        <v>1830</v>
      </c>
      <c r="AT21" s="7" t="n">
        <v>845</v>
      </c>
      <c r="AU21" s="8" t="n">
        <v>0.515</v>
      </c>
      <c r="AV21" s="7" t="n">
        <v>1205</v>
      </c>
      <c r="AW21" s="8" t="n">
        <v>0.734</v>
      </c>
      <c r="AX21" s="7" t="n">
        <v>1520</v>
      </c>
      <c r="AY21" s="8" t="n">
        <v>0.925</v>
      </c>
      <c r="AZ21" s="7" t="n">
        <v>1595</v>
      </c>
      <c r="BA21" s="8" t="n">
        <v>0.973</v>
      </c>
      <c r="BB21" s="7" t="n">
        <v>45</v>
      </c>
      <c r="BC21" s="8" t="n">
        <v>0.027</v>
      </c>
      <c r="BD21" s="7" t="n">
        <v>1640</v>
      </c>
      <c r="BE21" s="7" t="n">
        <v>790</v>
      </c>
      <c r="BF21" s="8" t="n">
        <v>0.48</v>
      </c>
      <c r="BG21" s="7" t="n">
        <v>1155</v>
      </c>
      <c r="BH21" s="8" t="n">
        <v>0.703</v>
      </c>
      <c r="BI21" s="7" t="n">
        <v>1380</v>
      </c>
      <c r="BJ21" s="8" t="n">
        <v>0.838</v>
      </c>
      <c r="BK21" s="7" t="n">
        <v>1525</v>
      </c>
      <c r="BL21" s="8" t="n">
        <v>0.926</v>
      </c>
      <c r="BM21" s="7" t="n">
        <v>120</v>
      </c>
      <c r="BN21" s="8" t="n">
        <v>0.074</v>
      </c>
      <c r="BO21" s="7" t="n">
        <v>1645</v>
      </c>
    </row>
    <row r="22" customFormat="false" ht="15" hidden="false" customHeight="false" outlineLevel="0" collapsed="false">
      <c r="A22" s="1" t="s">
        <v>60</v>
      </c>
      <c r="B22" s="7" t="n">
        <v>18520</v>
      </c>
      <c r="C22" s="8" t="n">
        <v>0.371</v>
      </c>
      <c r="D22" s="7" t="n">
        <v>32245</v>
      </c>
      <c r="E22" s="8" t="n">
        <v>0.646</v>
      </c>
      <c r="F22" s="7" t="n">
        <v>42080</v>
      </c>
      <c r="G22" s="8" t="n">
        <v>0.843</v>
      </c>
      <c r="H22" s="7" t="n">
        <v>47245</v>
      </c>
      <c r="I22" s="8" t="n">
        <v>0.946</v>
      </c>
      <c r="J22" s="7" t="n">
        <v>2680</v>
      </c>
      <c r="K22" s="8" t="n">
        <v>0.054</v>
      </c>
      <c r="L22" s="7" t="n">
        <v>49925</v>
      </c>
      <c r="M22" s="7" t="n">
        <v>19515</v>
      </c>
      <c r="N22" s="8" t="n">
        <v>0.398</v>
      </c>
      <c r="O22" s="7" t="n">
        <v>32710</v>
      </c>
      <c r="P22" s="8" t="n">
        <v>0.668</v>
      </c>
      <c r="Q22" s="7" t="n">
        <v>42270</v>
      </c>
      <c r="R22" s="8" t="n">
        <v>0.863</v>
      </c>
      <c r="S22" s="7" t="n">
        <v>46770</v>
      </c>
      <c r="T22" s="8" t="n">
        <v>0.955</v>
      </c>
      <c r="U22" s="7" t="n">
        <v>2230</v>
      </c>
      <c r="V22" s="8" t="n">
        <v>0.045</v>
      </c>
      <c r="W22" s="7" t="n">
        <v>49000</v>
      </c>
      <c r="X22" s="7" t="n">
        <v>19795</v>
      </c>
      <c r="Y22" s="8" t="n">
        <v>0.415</v>
      </c>
      <c r="Z22" s="7" t="n">
        <v>33075</v>
      </c>
      <c r="AA22" s="8" t="n">
        <v>0.693</v>
      </c>
      <c r="AB22" s="7" t="n">
        <v>41825</v>
      </c>
      <c r="AC22" s="8" t="n">
        <v>0.876</v>
      </c>
      <c r="AD22" s="7" t="n">
        <v>45740</v>
      </c>
      <c r="AE22" s="8" t="n">
        <v>0.958</v>
      </c>
      <c r="AF22" s="7" t="n">
        <v>1980</v>
      </c>
      <c r="AG22" s="8" t="n">
        <v>0.042</v>
      </c>
      <c r="AH22" s="7" t="n">
        <v>47720</v>
      </c>
      <c r="AI22" s="7" t="n">
        <v>22300</v>
      </c>
      <c r="AJ22" s="8" t="n">
        <v>0.476</v>
      </c>
      <c r="AK22" s="7" t="n">
        <v>33570</v>
      </c>
      <c r="AL22" s="8" t="n">
        <v>0.717</v>
      </c>
      <c r="AM22" s="7" t="n">
        <v>42630</v>
      </c>
      <c r="AN22" s="8" t="n">
        <v>0.91</v>
      </c>
      <c r="AO22" s="7" t="n">
        <v>45680</v>
      </c>
      <c r="AP22" s="8" t="n">
        <v>0.975</v>
      </c>
      <c r="AQ22" s="7" t="n">
        <v>1175</v>
      </c>
      <c r="AR22" s="8" t="n">
        <v>0.025</v>
      </c>
      <c r="AS22" s="7" t="n">
        <v>46850</v>
      </c>
      <c r="AT22" s="7" t="n">
        <v>18415</v>
      </c>
      <c r="AU22" s="8" t="n">
        <v>0.395</v>
      </c>
      <c r="AV22" s="7" t="n">
        <v>31350</v>
      </c>
      <c r="AW22" s="8" t="n">
        <v>0.672</v>
      </c>
      <c r="AX22" s="7" t="n">
        <v>42625</v>
      </c>
      <c r="AY22" s="8" t="n">
        <v>0.914</v>
      </c>
      <c r="AZ22" s="7" t="n">
        <v>45760</v>
      </c>
      <c r="BA22" s="8" t="n">
        <v>0.981</v>
      </c>
      <c r="BB22" s="7" t="n">
        <v>895</v>
      </c>
      <c r="BC22" s="8" t="n">
        <v>0.019</v>
      </c>
      <c r="BD22" s="7" t="n">
        <v>46655</v>
      </c>
      <c r="BE22" s="7" t="n">
        <v>16085</v>
      </c>
      <c r="BF22" s="8" t="n">
        <v>0.353</v>
      </c>
      <c r="BG22" s="7" t="n">
        <v>29885</v>
      </c>
      <c r="BH22" s="8" t="n">
        <v>0.655</v>
      </c>
      <c r="BI22" s="7" t="n">
        <v>39345</v>
      </c>
      <c r="BJ22" s="8" t="n">
        <v>0.863</v>
      </c>
      <c r="BK22" s="7" t="n">
        <v>43805</v>
      </c>
      <c r="BL22" s="8" t="n">
        <v>0.961</v>
      </c>
      <c r="BM22" s="7" t="n">
        <v>1785</v>
      </c>
      <c r="BN22" s="8" t="n">
        <v>0.039</v>
      </c>
      <c r="BO22" s="7" t="n">
        <v>45595</v>
      </c>
    </row>
    <row r="23" customFormat="false" ht="15" hidden="false" customHeight="false" outlineLevel="0" collapsed="false">
      <c r="A23" s="1" t="s">
        <v>61</v>
      </c>
      <c r="B23" s="7" t="n">
        <v>415</v>
      </c>
      <c r="C23" s="8" t="n">
        <v>0.284</v>
      </c>
      <c r="D23" s="7" t="n">
        <v>780</v>
      </c>
      <c r="E23" s="8" t="n">
        <v>0.534</v>
      </c>
      <c r="F23" s="7" t="n">
        <v>1125</v>
      </c>
      <c r="G23" s="8" t="n">
        <v>0.772</v>
      </c>
      <c r="H23" s="7" t="n">
        <v>1335</v>
      </c>
      <c r="I23" s="8" t="n">
        <v>0.914</v>
      </c>
      <c r="J23" s="7" t="n">
        <v>125</v>
      </c>
      <c r="K23" s="8" t="n">
        <v>0.086</v>
      </c>
      <c r="L23" s="7" t="n">
        <v>1460</v>
      </c>
      <c r="M23" s="7" t="n">
        <v>400</v>
      </c>
      <c r="N23" s="8" t="n">
        <v>0.295</v>
      </c>
      <c r="O23" s="7" t="n">
        <v>770</v>
      </c>
      <c r="P23" s="8" t="n">
        <v>0.57</v>
      </c>
      <c r="Q23" s="7" t="n">
        <v>1090</v>
      </c>
      <c r="R23" s="8" t="n">
        <v>0.807</v>
      </c>
      <c r="S23" s="7" t="n">
        <v>1260</v>
      </c>
      <c r="T23" s="8" t="n">
        <v>0.935</v>
      </c>
      <c r="U23" s="7" t="n">
        <v>90</v>
      </c>
      <c r="V23" s="8" t="n">
        <v>0.065</v>
      </c>
      <c r="W23" s="7" t="n">
        <v>1350</v>
      </c>
      <c r="X23" s="7" t="n">
        <v>290</v>
      </c>
      <c r="Y23" s="8" t="n">
        <v>0.287</v>
      </c>
      <c r="Z23" s="7" t="n">
        <v>560</v>
      </c>
      <c r="AA23" s="8" t="n">
        <v>0.556</v>
      </c>
      <c r="AB23" s="7" t="n">
        <v>785</v>
      </c>
      <c r="AC23" s="8" t="n">
        <v>0.783</v>
      </c>
      <c r="AD23" s="7" t="n">
        <v>920</v>
      </c>
      <c r="AE23" s="8" t="n">
        <v>0.917</v>
      </c>
      <c r="AF23" s="7" t="n">
        <v>85</v>
      </c>
      <c r="AG23" s="8" t="n">
        <v>0.083</v>
      </c>
      <c r="AH23" s="7" t="n">
        <v>1005</v>
      </c>
      <c r="AI23" s="7" t="n">
        <v>330</v>
      </c>
      <c r="AJ23" s="8" t="n">
        <v>0.358</v>
      </c>
      <c r="AK23" s="7" t="n">
        <v>620</v>
      </c>
      <c r="AL23" s="8" t="n">
        <v>0.677</v>
      </c>
      <c r="AM23" s="7" t="n">
        <v>825</v>
      </c>
      <c r="AN23" s="8" t="n">
        <v>0.899</v>
      </c>
      <c r="AO23" s="7" t="n">
        <v>885</v>
      </c>
      <c r="AP23" s="8" t="n">
        <v>0.965</v>
      </c>
      <c r="AQ23" s="7" t="n">
        <v>30</v>
      </c>
      <c r="AR23" s="8" t="n">
        <v>0.035</v>
      </c>
      <c r="AS23" s="7" t="n">
        <v>920</v>
      </c>
      <c r="AT23" s="7" t="n">
        <v>400</v>
      </c>
      <c r="AU23" s="8" t="n">
        <v>0.367</v>
      </c>
      <c r="AV23" s="7" t="n">
        <v>745</v>
      </c>
      <c r="AW23" s="8" t="n">
        <v>0.686</v>
      </c>
      <c r="AX23" s="7" t="n">
        <v>1015</v>
      </c>
      <c r="AY23" s="8" t="n">
        <v>0.935</v>
      </c>
      <c r="AZ23" s="7" t="n">
        <v>1070</v>
      </c>
      <c r="BA23" s="8" t="n">
        <v>0.983</v>
      </c>
      <c r="BB23" s="7" t="n">
        <v>20</v>
      </c>
      <c r="BC23" s="8" t="n">
        <v>0.017</v>
      </c>
      <c r="BD23" s="7" t="n">
        <v>1090</v>
      </c>
      <c r="BE23" s="7" t="n">
        <v>265</v>
      </c>
      <c r="BF23" s="8" t="n">
        <v>0.254</v>
      </c>
      <c r="BG23" s="7" t="n">
        <v>540</v>
      </c>
      <c r="BH23" s="8" t="n">
        <v>0.515</v>
      </c>
      <c r="BI23" s="7" t="n">
        <v>815</v>
      </c>
      <c r="BJ23" s="8" t="n">
        <v>0.78</v>
      </c>
      <c r="BK23" s="7" t="n">
        <v>980</v>
      </c>
      <c r="BL23" s="8" t="n">
        <v>0.936</v>
      </c>
      <c r="BM23" s="7" t="n">
        <v>65</v>
      </c>
      <c r="BN23" s="8" t="n">
        <v>0.064</v>
      </c>
      <c r="BO23" s="7" t="n">
        <v>1050</v>
      </c>
    </row>
    <row r="24" customFormat="false" ht="15" hidden="false" customHeight="false" outlineLevel="0" collapsed="false">
      <c r="A24" s="1" t="s">
        <v>62</v>
      </c>
      <c r="B24" s="7" t="n">
        <v>25</v>
      </c>
      <c r="C24" s="8" t="n">
        <v>0.056</v>
      </c>
      <c r="D24" s="7" t="n">
        <v>115</v>
      </c>
      <c r="E24" s="8" t="n">
        <v>0.246</v>
      </c>
      <c r="F24" s="7" t="n">
        <v>265</v>
      </c>
      <c r="G24" s="8" t="n">
        <v>0.573</v>
      </c>
      <c r="H24" s="7" t="n">
        <v>385</v>
      </c>
      <c r="I24" s="8" t="n">
        <v>0.834</v>
      </c>
      <c r="J24" s="7" t="n">
        <v>75</v>
      </c>
      <c r="K24" s="8" t="n">
        <v>0.166</v>
      </c>
      <c r="L24" s="7" t="n">
        <v>465</v>
      </c>
      <c r="M24" s="7" t="n">
        <v>45</v>
      </c>
      <c r="N24" s="8" t="n">
        <v>0.104</v>
      </c>
      <c r="O24" s="7" t="n">
        <v>115</v>
      </c>
      <c r="P24" s="8" t="n">
        <v>0.278</v>
      </c>
      <c r="Q24" s="7" t="n">
        <v>190</v>
      </c>
      <c r="R24" s="8" t="n">
        <v>0.46</v>
      </c>
      <c r="S24" s="7" t="n">
        <v>295</v>
      </c>
      <c r="T24" s="8" t="n">
        <v>0.714</v>
      </c>
      <c r="U24" s="7" t="n">
        <v>120</v>
      </c>
      <c r="V24" s="8" t="n">
        <v>0.286</v>
      </c>
      <c r="W24" s="7" t="n">
        <v>415</v>
      </c>
      <c r="X24" s="7" t="n">
        <v>60</v>
      </c>
      <c r="Y24" s="8" t="n">
        <v>0.177</v>
      </c>
      <c r="Z24" s="7" t="n">
        <v>140</v>
      </c>
      <c r="AA24" s="8" t="n">
        <v>0.403</v>
      </c>
      <c r="AB24" s="7" t="n">
        <v>225</v>
      </c>
      <c r="AC24" s="8" t="n">
        <v>0.637</v>
      </c>
      <c r="AD24" s="7" t="n">
        <v>300</v>
      </c>
      <c r="AE24" s="8" t="n">
        <v>0.863</v>
      </c>
      <c r="AF24" s="7" t="n">
        <v>50</v>
      </c>
      <c r="AG24" s="8" t="n">
        <v>0.137</v>
      </c>
      <c r="AH24" s="7" t="n">
        <v>350</v>
      </c>
      <c r="AI24" s="7" t="n">
        <v>115</v>
      </c>
      <c r="AJ24" s="8" t="n">
        <v>0.339</v>
      </c>
      <c r="AK24" s="7" t="n">
        <v>180</v>
      </c>
      <c r="AL24" s="8" t="n">
        <v>0.544</v>
      </c>
      <c r="AM24" s="7" t="n">
        <v>275</v>
      </c>
      <c r="AN24" s="8" t="n">
        <v>0.823</v>
      </c>
      <c r="AO24" s="7" t="n">
        <v>320</v>
      </c>
      <c r="AP24" s="8" t="n">
        <v>0.967</v>
      </c>
      <c r="AQ24" s="7" t="n">
        <v>10</v>
      </c>
      <c r="AR24" s="8" t="n">
        <v>0.033</v>
      </c>
      <c r="AS24" s="7" t="n">
        <v>335</v>
      </c>
      <c r="AT24" s="7" t="n">
        <v>65</v>
      </c>
      <c r="AU24" s="8" t="n">
        <v>0.248</v>
      </c>
      <c r="AV24" s="7" t="n">
        <v>130</v>
      </c>
      <c r="AW24" s="8" t="n">
        <v>0.496</v>
      </c>
      <c r="AX24" s="7" t="n">
        <v>220</v>
      </c>
      <c r="AY24" s="8" t="n">
        <v>0.86</v>
      </c>
      <c r="AZ24" s="7" t="n">
        <v>255</v>
      </c>
      <c r="BA24" s="8" t="n">
        <v>0.981</v>
      </c>
      <c r="BB24" s="7" t="n">
        <v>5</v>
      </c>
      <c r="BC24" s="8" t="n">
        <v>0.019</v>
      </c>
      <c r="BD24" s="7" t="n">
        <v>260</v>
      </c>
      <c r="BE24" s="7" t="n">
        <v>25</v>
      </c>
      <c r="BF24" s="8" t="n">
        <v>0.121</v>
      </c>
      <c r="BG24" s="7" t="n">
        <v>60</v>
      </c>
      <c r="BH24" s="8" t="n">
        <v>0.3</v>
      </c>
      <c r="BI24" s="7" t="n">
        <v>100</v>
      </c>
      <c r="BJ24" s="8" t="n">
        <v>0.483</v>
      </c>
      <c r="BK24" s="7" t="n">
        <v>155</v>
      </c>
      <c r="BL24" s="8" t="n">
        <v>0.758</v>
      </c>
      <c r="BM24" s="7" t="n">
        <v>50</v>
      </c>
      <c r="BN24" s="8" t="n">
        <v>0.242</v>
      </c>
      <c r="BO24" s="7" t="n">
        <v>205</v>
      </c>
    </row>
    <row r="25" customFormat="false" ht="15" hidden="false" customHeight="false" outlineLevel="0" collapsed="false">
      <c r="A25" s="1" t="s">
        <v>63</v>
      </c>
      <c r="B25" s="7" t="n">
        <v>110</v>
      </c>
      <c r="C25" s="8" t="n">
        <v>0.177</v>
      </c>
      <c r="D25" s="7" t="n">
        <v>295</v>
      </c>
      <c r="E25" s="8" t="n">
        <v>0.479</v>
      </c>
      <c r="F25" s="7" t="n">
        <v>460</v>
      </c>
      <c r="G25" s="8" t="n">
        <v>0.747</v>
      </c>
      <c r="H25" s="7" t="n">
        <v>565</v>
      </c>
      <c r="I25" s="8" t="n">
        <v>0.919</v>
      </c>
      <c r="J25" s="7" t="n">
        <v>50</v>
      </c>
      <c r="K25" s="8" t="n">
        <v>0.081</v>
      </c>
      <c r="L25" s="7" t="n">
        <v>615</v>
      </c>
      <c r="M25" s="7" t="n">
        <v>120</v>
      </c>
      <c r="N25" s="8" t="n">
        <v>0.188</v>
      </c>
      <c r="O25" s="7" t="n">
        <v>290</v>
      </c>
      <c r="P25" s="8" t="n">
        <v>0.462</v>
      </c>
      <c r="Q25" s="7" t="n">
        <v>455</v>
      </c>
      <c r="R25" s="8" t="n">
        <v>0.72</v>
      </c>
      <c r="S25" s="7" t="n">
        <v>565</v>
      </c>
      <c r="T25" s="8" t="n">
        <v>0.896</v>
      </c>
      <c r="U25" s="7" t="n">
        <v>65</v>
      </c>
      <c r="V25" s="8" t="n">
        <v>0.104</v>
      </c>
      <c r="W25" s="7" t="n">
        <v>630</v>
      </c>
      <c r="X25" s="7" t="n">
        <v>90</v>
      </c>
      <c r="Y25" s="8" t="n">
        <v>0.154</v>
      </c>
      <c r="Z25" s="7" t="n">
        <v>220</v>
      </c>
      <c r="AA25" s="8" t="n">
        <v>0.379</v>
      </c>
      <c r="AB25" s="7" t="n">
        <v>400</v>
      </c>
      <c r="AC25" s="8" t="n">
        <v>0.692</v>
      </c>
      <c r="AD25" s="7" t="n">
        <v>515</v>
      </c>
      <c r="AE25" s="8" t="n">
        <v>0.888</v>
      </c>
      <c r="AF25" s="7" t="n">
        <v>65</v>
      </c>
      <c r="AG25" s="8" t="n">
        <v>0.112</v>
      </c>
      <c r="AH25" s="7" t="n">
        <v>580</v>
      </c>
      <c r="AI25" s="7" t="n">
        <v>240</v>
      </c>
      <c r="AJ25" s="8" t="n">
        <v>0.474</v>
      </c>
      <c r="AK25" s="7" t="n">
        <v>375</v>
      </c>
      <c r="AL25" s="8" t="n">
        <v>0.736</v>
      </c>
      <c r="AM25" s="7" t="n">
        <v>460</v>
      </c>
      <c r="AN25" s="8" t="n">
        <v>0.909</v>
      </c>
      <c r="AO25" s="7" t="n">
        <v>495</v>
      </c>
      <c r="AP25" s="8" t="n">
        <v>0.978</v>
      </c>
      <c r="AQ25" s="7" t="n">
        <v>10</v>
      </c>
      <c r="AR25" s="8" t="n">
        <v>0.022</v>
      </c>
      <c r="AS25" s="7" t="n">
        <v>510</v>
      </c>
      <c r="AT25" s="7" t="n">
        <v>115</v>
      </c>
      <c r="AU25" s="8" t="n">
        <v>0.283</v>
      </c>
      <c r="AV25" s="7" t="n">
        <v>260</v>
      </c>
      <c r="AW25" s="8" t="n">
        <v>0.627</v>
      </c>
      <c r="AX25" s="7" t="n">
        <v>380</v>
      </c>
      <c r="AY25" s="8" t="n">
        <v>0.915</v>
      </c>
      <c r="AZ25" s="7" t="n">
        <v>405</v>
      </c>
      <c r="BA25" s="8" t="n">
        <v>0.978</v>
      </c>
      <c r="BB25" s="7" t="n">
        <v>10</v>
      </c>
      <c r="BC25" s="8" t="n">
        <v>0.022</v>
      </c>
      <c r="BD25" s="7" t="n">
        <v>415</v>
      </c>
      <c r="BE25" s="7" t="n">
        <v>45</v>
      </c>
      <c r="BF25" s="8" t="n">
        <v>0.123</v>
      </c>
      <c r="BG25" s="7" t="n">
        <v>130</v>
      </c>
      <c r="BH25" s="8" t="n">
        <v>0.343</v>
      </c>
      <c r="BI25" s="7" t="n">
        <v>225</v>
      </c>
      <c r="BJ25" s="8" t="n">
        <v>0.589</v>
      </c>
      <c r="BK25" s="7" t="n">
        <v>310</v>
      </c>
      <c r="BL25" s="8" t="n">
        <v>0.814</v>
      </c>
      <c r="BM25" s="7" t="n">
        <v>70</v>
      </c>
      <c r="BN25" s="8" t="n">
        <v>0.186</v>
      </c>
      <c r="BO25" s="7" t="n">
        <v>380</v>
      </c>
    </row>
    <row r="26" customFormat="false" ht="15" hidden="false" customHeight="false" outlineLevel="0" collapsed="false">
      <c r="A26" s="1" t="s">
        <v>32</v>
      </c>
      <c r="B26" s="7" t="n">
        <v>3595</v>
      </c>
      <c r="C26" s="8" t="n">
        <v>0.544</v>
      </c>
      <c r="D26" s="7" t="n">
        <v>4755</v>
      </c>
      <c r="E26" s="8" t="n">
        <v>0.719</v>
      </c>
      <c r="F26" s="7" t="n">
        <v>5620</v>
      </c>
      <c r="G26" s="8" t="n">
        <v>0.85</v>
      </c>
      <c r="H26" s="7" t="n">
        <v>6235</v>
      </c>
      <c r="I26" s="8" t="n">
        <v>0.943</v>
      </c>
      <c r="J26" s="7" t="n">
        <v>375</v>
      </c>
      <c r="K26" s="8" t="n">
        <v>0.057</v>
      </c>
      <c r="L26" s="7" t="n">
        <v>6610</v>
      </c>
      <c r="M26" s="7" t="n">
        <v>3910</v>
      </c>
      <c r="N26" s="8" t="n">
        <v>0.573</v>
      </c>
      <c r="O26" s="7" t="n">
        <v>5005</v>
      </c>
      <c r="P26" s="8" t="n">
        <v>0.734</v>
      </c>
      <c r="Q26" s="7" t="n">
        <v>5805</v>
      </c>
      <c r="R26" s="8" t="n">
        <v>0.851</v>
      </c>
      <c r="S26" s="7" t="n">
        <v>6420</v>
      </c>
      <c r="T26" s="8" t="n">
        <v>0.942</v>
      </c>
      <c r="U26" s="7" t="n">
        <v>395</v>
      </c>
      <c r="V26" s="8" t="n">
        <v>0.058</v>
      </c>
      <c r="W26" s="7" t="n">
        <v>6820</v>
      </c>
      <c r="X26" s="7" t="n">
        <v>3895</v>
      </c>
      <c r="Y26" s="8" t="n">
        <v>0.588</v>
      </c>
      <c r="Z26" s="7" t="n">
        <v>4920</v>
      </c>
      <c r="AA26" s="8" t="n">
        <v>0.742</v>
      </c>
      <c r="AB26" s="7" t="n">
        <v>5750</v>
      </c>
      <c r="AC26" s="8" t="n">
        <v>0.867</v>
      </c>
      <c r="AD26" s="7" t="n">
        <v>6280</v>
      </c>
      <c r="AE26" s="8" t="n">
        <v>0.947</v>
      </c>
      <c r="AF26" s="7" t="n">
        <v>350</v>
      </c>
      <c r="AG26" s="8" t="n">
        <v>0.053</v>
      </c>
      <c r="AH26" s="7" t="n">
        <v>6630</v>
      </c>
      <c r="AI26" s="7" t="n">
        <v>4275</v>
      </c>
      <c r="AJ26" s="8" t="n">
        <v>0.601</v>
      </c>
      <c r="AK26" s="7" t="n">
        <v>5475</v>
      </c>
      <c r="AL26" s="8" t="n">
        <v>0.769</v>
      </c>
      <c r="AM26" s="7" t="n">
        <v>6505</v>
      </c>
      <c r="AN26" s="8" t="n">
        <v>0.914</v>
      </c>
      <c r="AO26" s="7" t="n">
        <v>6930</v>
      </c>
      <c r="AP26" s="8" t="n">
        <v>0.974</v>
      </c>
      <c r="AQ26" s="7" t="n">
        <v>185</v>
      </c>
      <c r="AR26" s="8" t="n">
        <v>0.026</v>
      </c>
      <c r="AS26" s="7" t="n">
        <v>7115</v>
      </c>
      <c r="AT26" s="7" t="n">
        <v>4645</v>
      </c>
      <c r="AU26" s="8" t="n">
        <v>0.599</v>
      </c>
      <c r="AV26" s="7" t="n">
        <v>6140</v>
      </c>
      <c r="AW26" s="8" t="n">
        <v>0.792</v>
      </c>
      <c r="AX26" s="7" t="n">
        <v>7315</v>
      </c>
      <c r="AY26" s="8" t="n">
        <v>0.943</v>
      </c>
      <c r="AZ26" s="7" t="n">
        <v>7655</v>
      </c>
      <c r="BA26" s="8" t="n">
        <v>0.987</v>
      </c>
      <c r="BB26" s="7" t="n">
        <v>95</v>
      </c>
      <c r="BC26" s="8" t="n">
        <v>0.013</v>
      </c>
      <c r="BD26" s="7" t="n">
        <v>7750</v>
      </c>
      <c r="BE26" s="7" t="n">
        <v>4270</v>
      </c>
      <c r="BF26" s="8" t="n">
        <v>0.543</v>
      </c>
      <c r="BG26" s="7" t="n">
        <v>5580</v>
      </c>
      <c r="BH26" s="8" t="n">
        <v>0.709</v>
      </c>
      <c r="BI26" s="7" t="n">
        <v>6680</v>
      </c>
      <c r="BJ26" s="8" t="n">
        <v>0.849</v>
      </c>
      <c r="BK26" s="7" t="n">
        <v>7385</v>
      </c>
      <c r="BL26" s="8" t="n">
        <v>0.938</v>
      </c>
      <c r="BM26" s="7" t="n">
        <v>490</v>
      </c>
      <c r="BN26" s="8" t="n">
        <v>0.062</v>
      </c>
      <c r="BO26" s="7" t="n">
        <v>7870</v>
      </c>
    </row>
    <row r="27" customFormat="false" ht="15" hidden="false" customHeight="false" outlineLevel="0" collapsed="false">
      <c r="A27" s="1" t="s">
        <v>34</v>
      </c>
      <c r="B27" s="7" t="n">
        <v>100</v>
      </c>
      <c r="C27" s="8" t="n">
        <v>0.543</v>
      </c>
      <c r="D27" s="7" t="n">
        <v>130</v>
      </c>
      <c r="E27" s="8" t="n">
        <v>0.717</v>
      </c>
      <c r="F27" s="7" t="n">
        <v>150</v>
      </c>
      <c r="G27" s="8" t="n">
        <v>0.821</v>
      </c>
      <c r="H27" s="7" t="n">
        <v>170</v>
      </c>
      <c r="I27" s="8" t="n">
        <v>0.935</v>
      </c>
      <c r="J27" s="7" t="n">
        <v>10</v>
      </c>
      <c r="K27" s="8" t="n">
        <v>0.065</v>
      </c>
      <c r="L27" s="7" t="n">
        <v>185</v>
      </c>
      <c r="M27" s="7" t="n">
        <v>65</v>
      </c>
      <c r="N27" s="8" t="s">
        <v>33</v>
      </c>
      <c r="O27" s="7" t="n">
        <v>95</v>
      </c>
      <c r="P27" s="8" t="s">
        <v>33</v>
      </c>
      <c r="Q27" s="7" t="n">
        <v>105</v>
      </c>
      <c r="R27" s="8" t="s">
        <v>33</v>
      </c>
      <c r="S27" s="7" t="n">
        <v>115</v>
      </c>
      <c r="T27" s="8" t="s">
        <v>33</v>
      </c>
      <c r="U27" s="7" t="s">
        <v>33</v>
      </c>
      <c r="V27" s="8" t="s">
        <v>33</v>
      </c>
      <c r="W27" s="7" t="n">
        <v>115</v>
      </c>
      <c r="X27" s="7" t="n">
        <v>65</v>
      </c>
      <c r="Y27" s="8" t="s">
        <v>33</v>
      </c>
      <c r="Z27" s="7" t="n">
        <v>85</v>
      </c>
      <c r="AA27" s="8" t="s">
        <v>33</v>
      </c>
      <c r="AB27" s="7" t="n">
        <v>110</v>
      </c>
      <c r="AC27" s="8" t="s">
        <v>33</v>
      </c>
      <c r="AD27" s="7" t="n">
        <v>135</v>
      </c>
      <c r="AE27" s="8" t="s">
        <v>33</v>
      </c>
      <c r="AF27" s="7" t="s">
        <v>33</v>
      </c>
      <c r="AG27" s="8" t="s">
        <v>33</v>
      </c>
      <c r="AH27" s="7" t="n">
        <v>135</v>
      </c>
      <c r="AI27" s="7" t="n">
        <v>90</v>
      </c>
      <c r="AJ27" s="8" t="n">
        <v>0.547</v>
      </c>
      <c r="AK27" s="7" t="n">
        <v>125</v>
      </c>
      <c r="AL27" s="8" t="n">
        <v>0.776</v>
      </c>
      <c r="AM27" s="7" t="n">
        <v>140</v>
      </c>
      <c r="AN27" s="8" t="n">
        <v>0.882</v>
      </c>
      <c r="AO27" s="7" t="n">
        <v>155</v>
      </c>
      <c r="AP27" s="8" t="n">
        <v>0.969</v>
      </c>
      <c r="AQ27" s="7" t="n">
        <v>5</v>
      </c>
      <c r="AR27" s="8" t="n">
        <v>0.031</v>
      </c>
      <c r="AS27" s="7" t="n">
        <v>160</v>
      </c>
      <c r="AT27" s="7" t="n">
        <v>65</v>
      </c>
      <c r="AU27" s="8" t="s">
        <v>33</v>
      </c>
      <c r="AV27" s="7" t="n">
        <v>100</v>
      </c>
      <c r="AW27" s="8" t="s">
        <v>33</v>
      </c>
      <c r="AX27" s="7" t="n">
        <v>115</v>
      </c>
      <c r="AY27" s="8" t="s">
        <v>33</v>
      </c>
      <c r="AZ27" s="7" t="n">
        <v>120</v>
      </c>
      <c r="BA27" s="8" t="s">
        <v>33</v>
      </c>
      <c r="BB27" s="7" t="s">
        <v>33</v>
      </c>
      <c r="BC27" s="8" t="s">
        <v>33</v>
      </c>
      <c r="BD27" s="7" t="n">
        <v>125</v>
      </c>
      <c r="BE27" s="7" t="n">
        <v>55</v>
      </c>
      <c r="BF27" s="8" t="n">
        <v>0.415</v>
      </c>
      <c r="BG27" s="7" t="n">
        <v>75</v>
      </c>
      <c r="BH27" s="8" t="n">
        <v>0.57</v>
      </c>
      <c r="BI27" s="7" t="n">
        <v>100</v>
      </c>
      <c r="BJ27" s="8" t="n">
        <v>0.733</v>
      </c>
      <c r="BK27" s="7" t="n">
        <v>120</v>
      </c>
      <c r="BL27" s="8" t="n">
        <v>0.896</v>
      </c>
      <c r="BM27" s="7" t="n">
        <v>15</v>
      </c>
      <c r="BN27" s="8" t="n">
        <v>0.104</v>
      </c>
      <c r="BO27" s="7" t="n">
        <v>135</v>
      </c>
    </row>
    <row r="28" customFormat="false" ht="15" hidden="false" customHeight="false" outlineLevel="0" collapsed="false">
      <c r="A28" s="1" t="s">
        <v>36</v>
      </c>
      <c r="B28" s="7" t="n">
        <v>135</v>
      </c>
      <c r="C28" s="8" t="s">
        <v>33</v>
      </c>
      <c r="D28" s="7" t="n">
        <v>190</v>
      </c>
      <c r="E28" s="8" t="s">
        <v>33</v>
      </c>
      <c r="F28" s="7" t="n">
        <v>225</v>
      </c>
      <c r="G28" s="8" t="s">
        <v>33</v>
      </c>
      <c r="H28" s="7" t="n">
        <v>245</v>
      </c>
      <c r="I28" s="8" t="s">
        <v>33</v>
      </c>
      <c r="J28" s="7" t="s">
        <v>33</v>
      </c>
      <c r="K28" s="8" t="s">
        <v>33</v>
      </c>
      <c r="L28" s="7" t="n">
        <v>250</v>
      </c>
      <c r="M28" s="7" t="n">
        <v>115</v>
      </c>
      <c r="N28" s="8" t="n">
        <v>0.511</v>
      </c>
      <c r="O28" s="7" t="n">
        <v>165</v>
      </c>
      <c r="P28" s="8" t="n">
        <v>0.712</v>
      </c>
      <c r="Q28" s="7" t="n">
        <v>195</v>
      </c>
      <c r="R28" s="8" t="n">
        <v>0.852</v>
      </c>
      <c r="S28" s="7" t="n">
        <v>215</v>
      </c>
      <c r="T28" s="8" t="n">
        <v>0.939</v>
      </c>
      <c r="U28" s="7" t="n">
        <v>15</v>
      </c>
      <c r="V28" s="8" t="n">
        <v>0.061</v>
      </c>
      <c r="W28" s="7" t="n">
        <v>230</v>
      </c>
      <c r="X28" s="7" t="n">
        <v>110</v>
      </c>
      <c r="Y28" s="8" t="s">
        <v>33</v>
      </c>
      <c r="Z28" s="7" t="n">
        <v>165</v>
      </c>
      <c r="AA28" s="8" t="s">
        <v>33</v>
      </c>
      <c r="AB28" s="7" t="n">
        <v>190</v>
      </c>
      <c r="AC28" s="8" t="s">
        <v>33</v>
      </c>
      <c r="AD28" s="7" t="n">
        <v>200</v>
      </c>
      <c r="AE28" s="8" t="s">
        <v>33</v>
      </c>
      <c r="AF28" s="7" t="s">
        <v>33</v>
      </c>
      <c r="AG28" s="8" t="s">
        <v>33</v>
      </c>
      <c r="AH28" s="7" t="n">
        <v>205</v>
      </c>
      <c r="AI28" s="7" t="n">
        <v>135</v>
      </c>
      <c r="AJ28" s="8" t="n">
        <v>0.693</v>
      </c>
      <c r="AK28" s="7" t="n">
        <v>175</v>
      </c>
      <c r="AL28" s="8" t="n">
        <v>0.901</v>
      </c>
      <c r="AM28" s="7" t="n">
        <v>190</v>
      </c>
      <c r="AN28" s="8" t="n">
        <v>0.995</v>
      </c>
      <c r="AO28" s="7" t="n">
        <v>190</v>
      </c>
      <c r="AP28" s="8" t="n">
        <v>1</v>
      </c>
      <c r="AQ28" s="7" t="n">
        <v>0</v>
      </c>
      <c r="AR28" s="8" t="n">
        <v>0</v>
      </c>
      <c r="AS28" s="7" t="n">
        <v>190</v>
      </c>
      <c r="AT28" s="7" t="n">
        <v>115</v>
      </c>
      <c r="AU28" s="8" t="n">
        <v>0.623</v>
      </c>
      <c r="AV28" s="7" t="n">
        <v>150</v>
      </c>
      <c r="AW28" s="8" t="n">
        <v>0.82</v>
      </c>
      <c r="AX28" s="7" t="n">
        <v>180</v>
      </c>
      <c r="AY28" s="8" t="n">
        <v>0.984</v>
      </c>
      <c r="AZ28" s="7" t="n">
        <v>185</v>
      </c>
      <c r="BA28" s="8" t="n">
        <v>1</v>
      </c>
      <c r="BB28" s="7" t="n">
        <v>0</v>
      </c>
      <c r="BC28" s="8" t="n">
        <v>0</v>
      </c>
      <c r="BD28" s="7" t="n">
        <v>185</v>
      </c>
      <c r="BE28" s="7" t="n">
        <v>100</v>
      </c>
      <c r="BF28" s="8" t="s">
        <v>33</v>
      </c>
      <c r="BG28" s="7" t="n">
        <v>155</v>
      </c>
      <c r="BH28" s="8" t="s">
        <v>33</v>
      </c>
      <c r="BI28" s="7" t="n">
        <v>180</v>
      </c>
      <c r="BJ28" s="8" t="s">
        <v>33</v>
      </c>
      <c r="BK28" s="7" t="n">
        <v>195</v>
      </c>
      <c r="BL28" s="8" t="s">
        <v>33</v>
      </c>
      <c r="BM28" s="7" t="s">
        <v>33</v>
      </c>
      <c r="BN28" s="8" t="s">
        <v>33</v>
      </c>
      <c r="BO28" s="7" t="n">
        <v>195</v>
      </c>
    </row>
    <row r="29" customFormat="false" ht="15" hidden="false" customHeight="false" outlineLevel="0" collapsed="false">
      <c r="A29" s="1" t="s">
        <v>64</v>
      </c>
      <c r="B29" s="7" t="n">
        <v>3675</v>
      </c>
      <c r="C29" s="8" t="n">
        <v>0.373</v>
      </c>
      <c r="D29" s="7" t="n">
        <v>5760</v>
      </c>
      <c r="E29" s="8" t="n">
        <v>0.584</v>
      </c>
      <c r="F29" s="7" t="n">
        <v>7575</v>
      </c>
      <c r="G29" s="8" t="n">
        <v>0.768</v>
      </c>
      <c r="H29" s="7" t="n">
        <v>8870</v>
      </c>
      <c r="I29" s="8" t="n">
        <v>0.899</v>
      </c>
      <c r="J29" s="7" t="n">
        <v>990</v>
      </c>
      <c r="K29" s="8" t="n">
        <v>0.101</v>
      </c>
      <c r="L29" s="7" t="n">
        <v>9860</v>
      </c>
      <c r="M29" s="7" t="n">
        <v>3605</v>
      </c>
      <c r="N29" s="8" t="n">
        <v>0.349</v>
      </c>
      <c r="O29" s="7" t="n">
        <v>5785</v>
      </c>
      <c r="P29" s="8" t="n">
        <v>0.561</v>
      </c>
      <c r="Q29" s="7" t="n">
        <v>7800</v>
      </c>
      <c r="R29" s="8" t="n">
        <v>0.757</v>
      </c>
      <c r="S29" s="7" t="n">
        <v>9310</v>
      </c>
      <c r="T29" s="8" t="n">
        <v>0.903</v>
      </c>
      <c r="U29" s="7" t="n">
        <v>1005</v>
      </c>
      <c r="V29" s="8" t="n">
        <v>0.097</v>
      </c>
      <c r="W29" s="7" t="n">
        <v>10315</v>
      </c>
      <c r="X29" s="7" t="n">
        <v>4250</v>
      </c>
      <c r="Y29" s="8" t="n">
        <v>0.415</v>
      </c>
      <c r="Z29" s="7" t="n">
        <v>6550</v>
      </c>
      <c r="AA29" s="8" t="n">
        <v>0.64</v>
      </c>
      <c r="AB29" s="7" t="n">
        <v>8245</v>
      </c>
      <c r="AC29" s="8" t="n">
        <v>0.805</v>
      </c>
      <c r="AD29" s="7" t="n">
        <v>9490</v>
      </c>
      <c r="AE29" s="8" t="n">
        <v>0.927</v>
      </c>
      <c r="AF29" s="7" t="n">
        <v>750</v>
      </c>
      <c r="AG29" s="8" t="n">
        <v>0.073</v>
      </c>
      <c r="AH29" s="7" t="n">
        <v>10240</v>
      </c>
      <c r="AI29" s="7" t="n">
        <v>5285</v>
      </c>
      <c r="AJ29" s="8" t="n">
        <v>0.527</v>
      </c>
      <c r="AK29" s="7" t="n">
        <v>7230</v>
      </c>
      <c r="AL29" s="8" t="n">
        <v>0.721</v>
      </c>
      <c r="AM29" s="7" t="n">
        <v>8890</v>
      </c>
      <c r="AN29" s="8" t="n">
        <v>0.886</v>
      </c>
      <c r="AO29" s="7" t="n">
        <v>9725</v>
      </c>
      <c r="AP29" s="8" t="n">
        <v>0.969</v>
      </c>
      <c r="AQ29" s="7" t="n">
        <v>305</v>
      </c>
      <c r="AR29" s="8" t="n">
        <v>0.031</v>
      </c>
      <c r="AS29" s="7" t="n">
        <v>10030</v>
      </c>
      <c r="AT29" s="7" t="n">
        <v>4135</v>
      </c>
      <c r="AU29" s="8" t="n">
        <v>0.428</v>
      </c>
      <c r="AV29" s="7" t="n">
        <v>6360</v>
      </c>
      <c r="AW29" s="8" t="n">
        <v>0.658</v>
      </c>
      <c r="AX29" s="7" t="n">
        <v>8665</v>
      </c>
      <c r="AY29" s="8" t="n">
        <v>0.896</v>
      </c>
      <c r="AZ29" s="7" t="n">
        <v>9415</v>
      </c>
      <c r="BA29" s="8" t="n">
        <v>0.974</v>
      </c>
      <c r="BB29" s="7" t="n">
        <v>250</v>
      </c>
      <c r="BC29" s="8" t="n">
        <v>0.026</v>
      </c>
      <c r="BD29" s="7" t="n">
        <v>9665</v>
      </c>
      <c r="BE29" s="7" t="n">
        <v>2820</v>
      </c>
      <c r="BF29" s="8" t="n">
        <v>0.289</v>
      </c>
      <c r="BG29" s="7" t="n">
        <v>5080</v>
      </c>
      <c r="BH29" s="8" t="n">
        <v>0.521</v>
      </c>
      <c r="BI29" s="7" t="n">
        <v>6995</v>
      </c>
      <c r="BJ29" s="8" t="n">
        <v>0.717</v>
      </c>
      <c r="BK29" s="7" t="n">
        <v>8515</v>
      </c>
      <c r="BL29" s="8" t="n">
        <v>0.873</v>
      </c>
      <c r="BM29" s="7" t="n">
        <v>1240</v>
      </c>
      <c r="BN29" s="8" t="n">
        <v>0.127</v>
      </c>
      <c r="BO29" s="7" t="n">
        <v>9755</v>
      </c>
    </row>
    <row r="30" customFormat="false" ht="15" hidden="false" customHeight="false" outlineLevel="0" collapsed="false">
      <c r="A30" s="1" t="s">
        <v>37</v>
      </c>
      <c r="B30" s="7" t="n">
        <v>825</v>
      </c>
      <c r="C30" s="8" t="n">
        <v>0.541</v>
      </c>
      <c r="D30" s="7" t="n">
        <v>1095</v>
      </c>
      <c r="E30" s="8" t="n">
        <v>0.719</v>
      </c>
      <c r="F30" s="7" t="n">
        <v>1310</v>
      </c>
      <c r="G30" s="8" t="n">
        <v>0.861</v>
      </c>
      <c r="H30" s="7" t="n">
        <v>1430</v>
      </c>
      <c r="I30" s="8" t="n">
        <v>0.938</v>
      </c>
      <c r="J30" s="7" t="n">
        <v>95</v>
      </c>
      <c r="K30" s="8" t="n">
        <v>0.062</v>
      </c>
      <c r="L30" s="7" t="n">
        <v>1520</v>
      </c>
      <c r="M30" s="7" t="n">
        <v>905</v>
      </c>
      <c r="N30" s="8" t="n">
        <v>0.608</v>
      </c>
      <c r="O30" s="7" t="n">
        <v>1170</v>
      </c>
      <c r="P30" s="8" t="n">
        <v>0.784</v>
      </c>
      <c r="Q30" s="7" t="n">
        <v>1345</v>
      </c>
      <c r="R30" s="8" t="n">
        <v>0.904</v>
      </c>
      <c r="S30" s="7" t="n">
        <v>1450</v>
      </c>
      <c r="T30" s="8" t="n">
        <v>0.973</v>
      </c>
      <c r="U30" s="7" t="n">
        <v>40</v>
      </c>
      <c r="V30" s="8" t="n">
        <v>0.027</v>
      </c>
      <c r="W30" s="7" t="n">
        <v>1490</v>
      </c>
      <c r="X30" s="7" t="n">
        <v>850</v>
      </c>
      <c r="Y30" s="8" t="n">
        <v>0.566</v>
      </c>
      <c r="Z30" s="7" t="n">
        <v>1175</v>
      </c>
      <c r="AA30" s="8" t="n">
        <v>0.786</v>
      </c>
      <c r="AB30" s="7" t="n">
        <v>1375</v>
      </c>
      <c r="AC30" s="8" t="n">
        <v>0.92</v>
      </c>
      <c r="AD30" s="7" t="n">
        <v>1480</v>
      </c>
      <c r="AE30" s="8" t="n">
        <v>0.988</v>
      </c>
      <c r="AF30" s="7" t="n">
        <v>20</v>
      </c>
      <c r="AG30" s="8" t="n">
        <v>0.012</v>
      </c>
      <c r="AH30" s="7" t="n">
        <v>1495</v>
      </c>
      <c r="AI30" s="7" t="n">
        <v>830</v>
      </c>
      <c r="AJ30" s="8" t="n">
        <v>0.584</v>
      </c>
      <c r="AK30" s="7" t="n">
        <v>1100</v>
      </c>
      <c r="AL30" s="8" t="n">
        <v>0.774</v>
      </c>
      <c r="AM30" s="7" t="n">
        <v>1295</v>
      </c>
      <c r="AN30" s="8" t="n">
        <v>0.911</v>
      </c>
      <c r="AO30" s="7" t="n">
        <v>1390</v>
      </c>
      <c r="AP30" s="8" t="n">
        <v>0.979</v>
      </c>
      <c r="AQ30" s="7" t="n">
        <v>30</v>
      </c>
      <c r="AR30" s="8" t="n">
        <v>0.021</v>
      </c>
      <c r="AS30" s="7" t="n">
        <v>1420</v>
      </c>
      <c r="AT30" s="7" t="n">
        <v>990</v>
      </c>
      <c r="AU30" s="8" t="n">
        <v>0.579</v>
      </c>
      <c r="AV30" s="7" t="n">
        <v>1375</v>
      </c>
      <c r="AW30" s="8" t="n">
        <v>0.802</v>
      </c>
      <c r="AX30" s="7" t="n">
        <v>1625</v>
      </c>
      <c r="AY30" s="8" t="n">
        <v>0.949</v>
      </c>
      <c r="AZ30" s="7" t="n">
        <v>1690</v>
      </c>
      <c r="BA30" s="8" t="n">
        <v>0.988</v>
      </c>
      <c r="BB30" s="7" t="n">
        <v>20</v>
      </c>
      <c r="BC30" s="8" t="n">
        <v>0.012</v>
      </c>
      <c r="BD30" s="7" t="n">
        <v>1710</v>
      </c>
      <c r="BE30" s="7" t="n">
        <v>980</v>
      </c>
      <c r="BF30" s="8" t="n">
        <v>0.543</v>
      </c>
      <c r="BG30" s="7" t="n">
        <v>1305</v>
      </c>
      <c r="BH30" s="8" t="n">
        <v>0.722</v>
      </c>
      <c r="BI30" s="7" t="n">
        <v>1555</v>
      </c>
      <c r="BJ30" s="8" t="n">
        <v>0.862</v>
      </c>
      <c r="BK30" s="7" t="n">
        <v>1730</v>
      </c>
      <c r="BL30" s="8" t="n">
        <v>0.958</v>
      </c>
      <c r="BM30" s="7" t="n">
        <v>75</v>
      </c>
      <c r="BN30" s="8" t="n">
        <v>0.042</v>
      </c>
      <c r="BO30" s="7" t="n">
        <v>1805</v>
      </c>
    </row>
    <row r="31" customFormat="false" ht="15" hidden="false" customHeight="false" outlineLevel="0" collapsed="false">
      <c r="A31" s="1" t="s">
        <v>86</v>
      </c>
      <c r="B31" s="7" t="s">
        <v>33</v>
      </c>
      <c r="C31" s="8" t="s">
        <v>33</v>
      </c>
      <c r="D31" s="7" t="n">
        <v>5</v>
      </c>
      <c r="E31" s="8" t="s">
        <v>33</v>
      </c>
      <c r="F31" s="7" t="n">
        <v>10</v>
      </c>
      <c r="G31" s="8" t="s">
        <v>33</v>
      </c>
      <c r="H31" s="7" t="n">
        <v>20</v>
      </c>
      <c r="I31" s="8" t="s">
        <v>33</v>
      </c>
      <c r="J31" s="7" t="n">
        <v>10</v>
      </c>
      <c r="K31" s="8" t="s">
        <v>33</v>
      </c>
      <c r="L31" s="7" t="n">
        <v>25</v>
      </c>
      <c r="M31" s="7" t="s">
        <v>35</v>
      </c>
      <c r="N31" s="8" t="s">
        <v>35</v>
      </c>
      <c r="O31" s="7" t="s">
        <v>35</v>
      </c>
      <c r="P31" s="8" t="s">
        <v>35</v>
      </c>
      <c r="Q31" s="7" t="s">
        <v>35</v>
      </c>
      <c r="R31" s="8" t="s">
        <v>35</v>
      </c>
      <c r="S31" s="7" t="s">
        <v>35</v>
      </c>
      <c r="T31" s="8" t="s">
        <v>35</v>
      </c>
      <c r="U31" s="7" t="s">
        <v>35</v>
      </c>
      <c r="V31" s="8" t="s">
        <v>35</v>
      </c>
      <c r="W31" s="7" t="n">
        <v>0</v>
      </c>
      <c r="X31" s="7" t="s">
        <v>35</v>
      </c>
      <c r="Y31" s="8" t="s">
        <v>35</v>
      </c>
      <c r="Z31" s="7" t="s">
        <v>35</v>
      </c>
      <c r="AA31" s="8" t="s">
        <v>35</v>
      </c>
      <c r="AB31" s="7" t="s">
        <v>35</v>
      </c>
      <c r="AC31" s="8" t="s">
        <v>35</v>
      </c>
      <c r="AD31" s="7" t="s">
        <v>35</v>
      </c>
      <c r="AE31" s="8" t="s">
        <v>35</v>
      </c>
      <c r="AF31" s="7" t="s">
        <v>35</v>
      </c>
      <c r="AG31" s="8" t="s">
        <v>35</v>
      </c>
      <c r="AH31" s="7" t="n">
        <v>0</v>
      </c>
      <c r="AI31" s="7" t="s">
        <v>35</v>
      </c>
      <c r="AJ31" s="8" t="s">
        <v>35</v>
      </c>
      <c r="AK31" s="7" t="s">
        <v>35</v>
      </c>
      <c r="AL31" s="8" t="s">
        <v>35</v>
      </c>
      <c r="AM31" s="7" t="s">
        <v>35</v>
      </c>
      <c r="AN31" s="8" t="s">
        <v>35</v>
      </c>
      <c r="AO31" s="7" t="s">
        <v>35</v>
      </c>
      <c r="AP31" s="8" t="s">
        <v>35</v>
      </c>
      <c r="AQ31" s="7" t="s">
        <v>35</v>
      </c>
      <c r="AR31" s="8" t="s">
        <v>35</v>
      </c>
      <c r="AS31" s="7" t="n">
        <v>0</v>
      </c>
      <c r="AT31" s="7" t="s">
        <v>35</v>
      </c>
      <c r="AU31" s="8" t="s">
        <v>35</v>
      </c>
      <c r="AV31" s="7" t="s">
        <v>35</v>
      </c>
      <c r="AW31" s="8" t="s">
        <v>35</v>
      </c>
      <c r="AX31" s="7" t="s">
        <v>35</v>
      </c>
      <c r="AY31" s="8" t="s">
        <v>35</v>
      </c>
      <c r="AZ31" s="7" t="s">
        <v>35</v>
      </c>
      <c r="BA31" s="8" t="s">
        <v>35</v>
      </c>
      <c r="BB31" s="7" t="s">
        <v>35</v>
      </c>
      <c r="BC31" s="8" t="s">
        <v>35</v>
      </c>
      <c r="BD31" s="7" t="n">
        <v>0</v>
      </c>
      <c r="BE31" s="7" t="s">
        <v>35</v>
      </c>
      <c r="BF31" s="8" t="s">
        <v>35</v>
      </c>
      <c r="BG31" s="7" t="s">
        <v>35</v>
      </c>
      <c r="BH31" s="8" t="s">
        <v>35</v>
      </c>
      <c r="BI31" s="7" t="s">
        <v>35</v>
      </c>
      <c r="BJ31" s="8" t="s">
        <v>35</v>
      </c>
      <c r="BK31" s="7" t="s">
        <v>35</v>
      </c>
      <c r="BL31" s="8" t="s">
        <v>35</v>
      </c>
      <c r="BM31" s="7" t="s">
        <v>35</v>
      </c>
      <c r="BN31" s="8" t="s">
        <v>35</v>
      </c>
      <c r="BO31" s="7" t="n">
        <v>0</v>
      </c>
    </row>
    <row r="32" customFormat="false" ht="15" hidden="false" customHeight="false" outlineLevel="0" collapsed="false">
      <c r="A32" s="1" t="s">
        <v>87</v>
      </c>
      <c r="B32" s="7" t="n">
        <v>890</v>
      </c>
      <c r="C32" s="8" t="n">
        <v>0.172</v>
      </c>
      <c r="D32" s="7" t="n">
        <v>2085</v>
      </c>
      <c r="E32" s="8" t="n">
        <v>0.403</v>
      </c>
      <c r="F32" s="7" t="n">
        <v>3355</v>
      </c>
      <c r="G32" s="8" t="n">
        <v>0.648</v>
      </c>
      <c r="H32" s="7" t="n">
        <v>4370</v>
      </c>
      <c r="I32" s="8" t="n">
        <v>0.844</v>
      </c>
      <c r="J32" s="7" t="n">
        <v>805</v>
      </c>
      <c r="K32" s="8" t="n">
        <v>0.156</v>
      </c>
      <c r="L32" s="7" t="n">
        <v>5175</v>
      </c>
      <c r="M32" s="7" t="n">
        <v>1440</v>
      </c>
      <c r="N32" s="8" t="n">
        <v>0.279</v>
      </c>
      <c r="O32" s="7" t="n">
        <v>2705</v>
      </c>
      <c r="P32" s="8" t="n">
        <v>0.525</v>
      </c>
      <c r="Q32" s="7" t="n">
        <v>3820</v>
      </c>
      <c r="R32" s="8" t="n">
        <v>0.742</v>
      </c>
      <c r="S32" s="7" t="n">
        <v>4615</v>
      </c>
      <c r="T32" s="8" t="n">
        <v>0.896</v>
      </c>
      <c r="U32" s="7" t="n">
        <v>535</v>
      </c>
      <c r="V32" s="8" t="n">
        <v>0.104</v>
      </c>
      <c r="W32" s="7" t="n">
        <v>5150</v>
      </c>
      <c r="X32" s="7" t="n">
        <v>1290</v>
      </c>
      <c r="Y32" s="8" t="n">
        <v>0.261</v>
      </c>
      <c r="Z32" s="7" t="n">
        <v>2575</v>
      </c>
      <c r="AA32" s="8" t="n">
        <v>0.521</v>
      </c>
      <c r="AB32" s="7" t="n">
        <v>3745</v>
      </c>
      <c r="AC32" s="8" t="n">
        <v>0.758</v>
      </c>
      <c r="AD32" s="7" t="n">
        <v>4505</v>
      </c>
      <c r="AE32" s="8" t="n">
        <v>0.911</v>
      </c>
      <c r="AF32" s="7" t="n">
        <v>440</v>
      </c>
      <c r="AG32" s="8" t="n">
        <v>0.089</v>
      </c>
      <c r="AH32" s="7" t="n">
        <v>4945</v>
      </c>
      <c r="AI32" s="7" t="n">
        <v>1970</v>
      </c>
      <c r="AJ32" s="8" t="n">
        <v>0.393</v>
      </c>
      <c r="AK32" s="7" t="n">
        <v>3145</v>
      </c>
      <c r="AL32" s="8" t="n">
        <v>0.626</v>
      </c>
      <c r="AM32" s="7" t="n">
        <v>4365</v>
      </c>
      <c r="AN32" s="8" t="n">
        <v>0.869</v>
      </c>
      <c r="AO32" s="7" t="n">
        <v>4795</v>
      </c>
      <c r="AP32" s="8" t="n">
        <v>0.955</v>
      </c>
      <c r="AQ32" s="7" t="n">
        <v>225</v>
      </c>
      <c r="AR32" s="8" t="n">
        <v>0.045</v>
      </c>
      <c r="AS32" s="7" t="n">
        <v>5020</v>
      </c>
      <c r="AT32" s="7" t="n">
        <v>1860</v>
      </c>
      <c r="AU32" s="8" t="n">
        <v>0.355</v>
      </c>
      <c r="AV32" s="7" t="n">
        <v>3440</v>
      </c>
      <c r="AW32" s="8" t="n">
        <v>0.655</v>
      </c>
      <c r="AX32" s="7" t="n">
        <v>4835</v>
      </c>
      <c r="AY32" s="8" t="n">
        <v>0.922</v>
      </c>
      <c r="AZ32" s="7" t="n">
        <v>5140</v>
      </c>
      <c r="BA32" s="8" t="n">
        <v>0.98</v>
      </c>
      <c r="BB32" s="7" t="n">
        <v>105</v>
      </c>
      <c r="BC32" s="8" t="n">
        <v>0.02</v>
      </c>
      <c r="BD32" s="7" t="n">
        <v>5245</v>
      </c>
      <c r="BE32" s="7" t="n">
        <v>1175</v>
      </c>
      <c r="BF32" s="8" t="n">
        <v>0.218</v>
      </c>
      <c r="BG32" s="7" t="n">
        <v>2530</v>
      </c>
      <c r="BH32" s="8" t="n">
        <v>0.468</v>
      </c>
      <c r="BI32" s="7" t="n">
        <v>3905</v>
      </c>
      <c r="BJ32" s="8" t="n">
        <v>0.722</v>
      </c>
      <c r="BK32" s="7" t="n">
        <v>4815</v>
      </c>
      <c r="BL32" s="8" t="n">
        <v>0.891</v>
      </c>
      <c r="BM32" s="7" t="n">
        <v>590</v>
      </c>
      <c r="BN32" s="8" t="n">
        <v>0.109</v>
      </c>
      <c r="BO32" s="7" t="n">
        <v>5405</v>
      </c>
    </row>
    <row r="33" customFormat="false" ht="15" hidden="false" customHeight="false" outlineLevel="0" collapsed="false">
      <c r="A33" s="1" t="s">
        <v>65</v>
      </c>
      <c r="B33" s="7" t="n">
        <v>335</v>
      </c>
      <c r="C33" s="8" t="n">
        <v>0.22</v>
      </c>
      <c r="D33" s="7" t="n">
        <v>675</v>
      </c>
      <c r="E33" s="8" t="n">
        <v>0.441</v>
      </c>
      <c r="F33" s="7" t="n">
        <v>1065</v>
      </c>
      <c r="G33" s="8" t="n">
        <v>0.697</v>
      </c>
      <c r="H33" s="7" t="n">
        <v>1320</v>
      </c>
      <c r="I33" s="8" t="n">
        <v>0.864</v>
      </c>
      <c r="J33" s="7" t="n">
        <v>210</v>
      </c>
      <c r="K33" s="8" t="n">
        <v>0.136</v>
      </c>
      <c r="L33" s="7" t="n">
        <v>1530</v>
      </c>
      <c r="M33" s="7" t="n">
        <v>475</v>
      </c>
      <c r="N33" s="8" t="n">
        <v>0.289</v>
      </c>
      <c r="O33" s="7" t="n">
        <v>900</v>
      </c>
      <c r="P33" s="8" t="n">
        <v>0.544</v>
      </c>
      <c r="Q33" s="7" t="n">
        <v>1280</v>
      </c>
      <c r="R33" s="8" t="n">
        <v>0.776</v>
      </c>
      <c r="S33" s="7" t="n">
        <v>1505</v>
      </c>
      <c r="T33" s="8" t="n">
        <v>0.912</v>
      </c>
      <c r="U33" s="7" t="n">
        <v>145</v>
      </c>
      <c r="V33" s="8" t="n">
        <v>0.088</v>
      </c>
      <c r="W33" s="7" t="n">
        <v>1650</v>
      </c>
      <c r="X33" s="7" t="n">
        <v>435</v>
      </c>
      <c r="Y33" s="8" t="n">
        <v>0.241</v>
      </c>
      <c r="Z33" s="7" t="n">
        <v>940</v>
      </c>
      <c r="AA33" s="8" t="n">
        <v>0.52</v>
      </c>
      <c r="AB33" s="7" t="n">
        <v>1435</v>
      </c>
      <c r="AC33" s="8" t="n">
        <v>0.795</v>
      </c>
      <c r="AD33" s="7" t="n">
        <v>1655</v>
      </c>
      <c r="AE33" s="8" t="n">
        <v>0.917</v>
      </c>
      <c r="AF33" s="7" t="n">
        <v>150</v>
      </c>
      <c r="AG33" s="8" t="n">
        <v>0.083</v>
      </c>
      <c r="AH33" s="7" t="n">
        <v>1805</v>
      </c>
      <c r="AI33" s="7" t="n">
        <v>585</v>
      </c>
      <c r="AJ33" s="8" t="n">
        <v>0.344</v>
      </c>
      <c r="AK33" s="7" t="n">
        <v>1030</v>
      </c>
      <c r="AL33" s="8" t="n">
        <v>0.607</v>
      </c>
      <c r="AM33" s="7" t="n">
        <v>1445</v>
      </c>
      <c r="AN33" s="8" t="n">
        <v>0.851</v>
      </c>
      <c r="AO33" s="7" t="n">
        <v>1610</v>
      </c>
      <c r="AP33" s="8" t="n">
        <v>0.948</v>
      </c>
      <c r="AQ33" s="7" t="n">
        <v>90</v>
      </c>
      <c r="AR33" s="8" t="n">
        <v>0.052</v>
      </c>
      <c r="AS33" s="7" t="n">
        <v>1700</v>
      </c>
      <c r="AT33" s="7" t="n">
        <v>480</v>
      </c>
      <c r="AU33" s="8" t="n">
        <v>0.32</v>
      </c>
      <c r="AV33" s="7" t="n">
        <v>950</v>
      </c>
      <c r="AW33" s="8" t="n">
        <v>0.635</v>
      </c>
      <c r="AX33" s="7" t="n">
        <v>1380</v>
      </c>
      <c r="AY33" s="8" t="n">
        <v>0.922</v>
      </c>
      <c r="AZ33" s="7" t="n">
        <v>1470</v>
      </c>
      <c r="BA33" s="8" t="n">
        <v>0.983</v>
      </c>
      <c r="BB33" s="7" t="n">
        <v>25</v>
      </c>
      <c r="BC33" s="8" t="n">
        <v>0.017</v>
      </c>
      <c r="BD33" s="7" t="n">
        <v>1495</v>
      </c>
      <c r="BE33" s="7" t="n">
        <v>310</v>
      </c>
      <c r="BF33" s="8" t="n">
        <v>0.211</v>
      </c>
      <c r="BG33" s="7" t="n">
        <v>690</v>
      </c>
      <c r="BH33" s="8" t="n">
        <v>0.472</v>
      </c>
      <c r="BI33" s="7" t="n">
        <v>1085</v>
      </c>
      <c r="BJ33" s="8" t="n">
        <v>0.743</v>
      </c>
      <c r="BK33" s="7" t="n">
        <v>1320</v>
      </c>
      <c r="BL33" s="8" t="n">
        <v>0.904</v>
      </c>
      <c r="BM33" s="7" t="n">
        <v>140</v>
      </c>
      <c r="BN33" s="8" t="n">
        <v>0.096</v>
      </c>
      <c r="BO33" s="7" t="n">
        <v>1460</v>
      </c>
    </row>
    <row r="34" customFormat="false" ht="15" hidden="false" customHeight="false" outlineLevel="0" collapsed="false">
      <c r="A34" s="1" t="s">
        <v>66</v>
      </c>
      <c r="B34" s="7" t="n">
        <v>6335</v>
      </c>
      <c r="C34" s="8" t="n">
        <v>0.391</v>
      </c>
      <c r="D34" s="7" t="n">
        <v>9065</v>
      </c>
      <c r="E34" s="8" t="n">
        <v>0.559</v>
      </c>
      <c r="F34" s="7" t="n">
        <v>11510</v>
      </c>
      <c r="G34" s="8" t="n">
        <v>0.71</v>
      </c>
      <c r="H34" s="7" t="n">
        <v>13470</v>
      </c>
      <c r="I34" s="8" t="n">
        <v>0.831</v>
      </c>
      <c r="J34" s="7" t="n">
        <v>2740</v>
      </c>
      <c r="K34" s="8" t="n">
        <v>0.169</v>
      </c>
      <c r="L34" s="7" t="n">
        <v>16210</v>
      </c>
      <c r="M34" s="7" t="n">
        <v>6840</v>
      </c>
      <c r="N34" s="8" t="n">
        <v>0.421</v>
      </c>
      <c r="O34" s="7" t="n">
        <v>10505</v>
      </c>
      <c r="P34" s="8" t="n">
        <v>0.647</v>
      </c>
      <c r="Q34" s="7" t="n">
        <v>13115</v>
      </c>
      <c r="R34" s="8" t="n">
        <v>0.808</v>
      </c>
      <c r="S34" s="7" t="n">
        <v>14915</v>
      </c>
      <c r="T34" s="8" t="n">
        <v>0.919</v>
      </c>
      <c r="U34" s="7" t="n">
        <v>1320</v>
      </c>
      <c r="V34" s="8" t="n">
        <v>0.081</v>
      </c>
      <c r="W34" s="7" t="n">
        <v>16235</v>
      </c>
      <c r="X34" s="7" t="n">
        <v>6495</v>
      </c>
      <c r="Y34" s="8" t="n">
        <v>0.415</v>
      </c>
      <c r="Z34" s="7" t="n">
        <v>9985</v>
      </c>
      <c r="AA34" s="8" t="n">
        <v>0.638</v>
      </c>
      <c r="AB34" s="7" t="n">
        <v>12700</v>
      </c>
      <c r="AC34" s="8" t="n">
        <v>0.811</v>
      </c>
      <c r="AD34" s="7" t="n">
        <v>14575</v>
      </c>
      <c r="AE34" s="8" t="n">
        <v>0.931</v>
      </c>
      <c r="AF34" s="7" t="n">
        <v>1085</v>
      </c>
      <c r="AG34" s="8" t="n">
        <v>0.069</v>
      </c>
      <c r="AH34" s="7" t="n">
        <v>15660</v>
      </c>
      <c r="AI34" s="7" t="n">
        <v>8255</v>
      </c>
      <c r="AJ34" s="8" t="n">
        <v>0.542</v>
      </c>
      <c r="AK34" s="7" t="n">
        <v>10875</v>
      </c>
      <c r="AL34" s="8" t="n">
        <v>0.714</v>
      </c>
      <c r="AM34" s="7" t="n">
        <v>13335</v>
      </c>
      <c r="AN34" s="8" t="n">
        <v>0.875</v>
      </c>
      <c r="AO34" s="7" t="n">
        <v>14540</v>
      </c>
      <c r="AP34" s="8" t="n">
        <v>0.954</v>
      </c>
      <c r="AQ34" s="7" t="n">
        <v>695</v>
      </c>
      <c r="AR34" s="8" t="n">
        <v>0.046</v>
      </c>
      <c r="AS34" s="7" t="n">
        <v>15240</v>
      </c>
      <c r="AT34" s="7" t="n">
        <v>6690</v>
      </c>
      <c r="AU34" s="8" t="n">
        <v>0.445</v>
      </c>
      <c r="AV34" s="7" t="n">
        <v>10110</v>
      </c>
      <c r="AW34" s="8" t="n">
        <v>0.672</v>
      </c>
      <c r="AX34" s="7" t="n">
        <v>13580</v>
      </c>
      <c r="AY34" s="8" t="n">
        <v>0.903</v>
      </c>
      <c r="AZ34" s="7" t="n">
        <v>14650</v>
      </c>
      <c r="BA34" s="8" t="n">
        <v>0.975</v>
      </c>
      <c r="BB34" s="7" t="n">
        <v>385</v>
      </c>
      <c r="BC34" s="8" t="n">
        <v>0.025</v>
      </c>
      <c r="BD34" s="7" t="n">
        <v>15035</v>
      </c>
      <c r="BE34" s="7" t="n">
        <v>5550</v>
      </c>
      <c r="BF34" s="8" t="n">
        <v>0.377</v>
      </c>
      <c r="BG34" s="7" t="n">
        <v>9025</v>
      </c>
      <c r="BH34" s="8" t="n">
        <v>0.614</v>
      </c>
      <c r="BI34" s="7" t="n">
        <v>11655</v>
      </c>
      <c r="BJ34" s="8" t="n">
        <v>0.793</v>
      </c>
      <c r="BK34" s="7" t="n">
        <v>13470</v>
      </c>
      <c r="BL34" s="8" t="n">
        <v>0.916</v>
      </c>
      <c r="BM34" s="7" t="n">
        <v>1235</v>
      </c>
      <c r="BN34" s="8" t="n">
        <v>0.084</v>
      </c>
      <c r="BO34" s="7" t="n">
        <v>14705</v>
      </c>
    </row>
    <row r="35" customFormat="false" ht="15" hidden="false" customHeight="false" outlineLevel="0" collapsed="false">
      <c r="A35" s="1" t="s">
        <v>39</v>
      </c>
      <c r="B35" s="7" t="n">
        <v>165</v>
      </c>
      <c r="C35" s="8" t="n">
        <v>0.497</v>
      </c>
      <c r="D35" s="7" t="n">
        <v>225</v>
      </c>
      <c r="E35" s="8" t="n">
        <v>0.677</v>
      </c>
      <c r="F35" s="7" t="n">
        <v>265</v>
      </c>
      <c r="G35" s="8" t="n">
        <v>0.79</v>
      </c>
      <c r="H35" s="7" t="n">
        <v>310</v>
      </c>
      <c r="I35" s="8" t="n">
        <v>0.928</v>
      </c>
      <c r="J35" s="7" t="n">
        <v>25</v>
      </c>
      <c r="K35" s="8" t="n">
        <v>0.072</v>
      </c>
      <c r="L35" s="7" t="n">
        <v>335</v>
      </c>
      <c r="M35" s="7" t="n">
        <v>95</v>
      </c>
      <c r="N35" s="8" t="n">
        <v>0.622</v>
      </c>
      <c r="O35" s="7" t="n">
        <v>120</v>
      </c>
      <c r="P35" s="8" t="n">
        <v>0.769</v>
      </c>
      <c r="Q35" s="7" t="n">
        <v>135</v>
      </c>
      <c r="R35" s="8" t="n">
        <v>0.878</v>
      </c>
      <c r="S35" s="7" t="n">
        <v>150</v>
      </c>
      <c r="T35" s="8" t="n">
        <v>0.949</v>
      </c>
      <c r="U35" s="7" t="n">
        <v>10</v>
      </c>
      <c r="V35" s="8" t="n">
        <v>0.051</v>
      </c>
      <c r="W35" s="7" t="n">
        <v>155</v>
      </c>
      <c r="X35" s="7" t="n">
        <v>155</v>
      </c>
      <c r="Y35" s="8" t="n">
        <v>0.598</v>
      </c>
      <c r="Z35" s="7" t="n">
        <v>180</v>
      </c>
      <c r="AA35" s="8" t="n">
        <v>0.691</v>
      </c>
      <c r="AB35" s="7" t="n">
        <v>215</v>
      </c>
      <c r="AC35" s="8" t="n">
        <v>0.826</v>
      </c>
      <c r="AD35" s="7" t="n">
        <v>240</v>
      </c>
      <c r="AE35" s="8" t="n">
        <v>0.931</v>
      </c>
      <c r="AF35" s="7" t="n">
        <v>20</v>
      </c>
      <c r="AG35" s="8" t="n">
        <v>0.069</v>
      </c>
      <c r="AH35" s="7" t="n">
        <v>260</v>
      </c>
      <c r="AI35" s="7" t="n">
        <v>70</v>
      </c>
      <c r="AJ35" s="8" t="s">
        <v>33</v>
      </c>
      <c r="AK35" s="7" t="n">
        <v>90</v>
      </c>
      <c r="AL35" s="8" t="s">
        <v>33</v>
      </c>
      <c r="AM35" s="7" t="n">
        <v>105</v>
      </c>
      <c r="AN35" s="8" t="s">
        <v>33</v>
      </c>
      <c r="AO35" s="7" t="n">
        <v>110</v>
      </c>
      <c r="AP35" s="8" t="s">
        <v>33</v>
      </c>
      <c r="AQ35" s="7" t="s">
        <v>33</v>
      </c>
      <c r="AR35" s="8" t="s">
        <v>33</v>
      </c>
      <c r="AS35" s="7" t="n">
        <v>115</v>
      </c>
      <c r="AT35" s="7" t="n">
        <v>160</v>
      </c>
      <c r="AU35" s="8" t="s">
        <v>33</v>
      </c>
      <c r="AV35" s="7" t="n">
        <v>215</v>
      </c>
      <c r="AW35" s="8" t="s">
        <v>33</v>
      </c>
      <c r="AX35" s="7" t="n">
        <v>265</v>
      </c>
      <c r="AY35" s="8" t="s">
        <v>33</v>
      </c>
      <c r="AZ35" s="7" t="n">
        <v>275</v>
      </c>
      <c r="BA35" s="8" t="s">
        <v>33</v>
      </c>
      <c r="BB35" s="7" t="s">
        <v>33</v>
      </c>
      <c r="BC35" s="8" t="s">
        <v>33</v>
      </c>
      <c r="BD35" s="7" t="n">
        <v>280</v>
      </c>
      <c r="BE35" s="7" t="n">
        <v>125</v>
      </c>
      <c r="BF35" s="8" t="n">
        <v>0.567</v>
      </c>
      <c r="BG35" s="7" t="n">
        <v>165</v>
      </c>
      <c r="BH35" s="8" t="n">
        <v>0.765</v>
      </c>
      <c r="BI35" s="7" t="n">
        <v>195</v>
      </c>
      <c r="BJ35" s="8" t="n">
        <v>0.889</v>
      </c>
      <c r="BK35" s="7" t="n">
        <v>210</v>
      </c>
      <c r="BL35" s="8" t="n">
        <v>0.972</v>
      </c>
      <c r="BM35" s="7" t="n">
        <v>5</v>
      </c>
      <c r="BN35" s="8" t="n">
        <v>0.028</v>
      </c>
      <c r="BO35" s="7" t="n">
        <v>215</v>
      </c>
    </row>
    <row r="36" customFormat="false" ht="15" hidden="false" customHeight="false" outlineLevel="0" collapsed="false">
      <c r="A36" s="1" t="s">
        <v>67</v>
      </c>
      <c r="B36" s="7" t="n">
        <v>345</v>
      </c>
      <c r="C36" s="8" t="s">
        <v>33</v>
      </c>
      <c r="D36" s="7" t="n">
        <v>375</v>
      </c>
      <c r="E36" s="8" t="s">
        <v>33</v>
      </c>
      <c r="F36" s="7" t="n">
        <v>385</v>
      </c>
      <c r="G36" s="8" t="s">
        <v>33</v>
      </c>
      <c r="H36" s="7" t="n">
        <v>385</v>
      </c>
      <c r="I36" s="8" t="s">
        <v>33</v>
      </c>
      <c r="J36" s="7" t="s">
        <v>33</v>
      </c>
      <c r="K36" s="8" t="s">
        <v>33</v>
      </c>
      <c r="L36" s="7" t="n">
        <v>385</v>
      </c>
      <c r="M36" s="7" t="n">
        <v>320</v>
      </c>
      <c r="N36" s="8" t="s">
        <v>33</v>
      </c>
      <c r="O36" s="7" t="n">
        <v>330</v>
      </c>
      <c r="P36" s="8" t="s">
        <v>33</v>
      </c>
      <c r="Q36" s="7" t="n">
        <v>335</v>
      </c>
      <c r="R36" s="8" t="s">
        <v>33</v>
      </c>
      <c r="S36" s="7" t="n">
        <v>335</v>
      </c>
      <c r="T36" s="8" t="s">
        <v>33</v>
      </c>
      <c r="U36" s="7" t="s">
        <v>33</v>
      </c>
      <c r="V36" s="8" t="s">
        <v>33</v>
      </c>
      <c r="W36" s="7" t="n">
        <v>340</v>
      </c>
      <c r="X36" s="7" t="n">
        <v>360</v>
      </c>
      <c r="Y36" s="8" t="s">
        <v>33</v>
      </c>
      <c r="Z36" s="7" t="n">
        <v>395</v>
      </c>
      <c r="AA36" s="8" t="s">
        <v>33</v>
      </c>
      <c r="AB36" s="7" t="n">
        <v>405</v>
      </c>
      <c r="AC36" s="8" t="s">
        <v>33</v>
      </c>
      <c r="AD36" s="7" t="n">
        <v>410</v>
      </c>
      <c r="AE36" s="8" t="s">
        <v>33</v>
      </c>
      <c r="AF36" s="7" t="s">
        <v>33</v>
      </c>
      <c r="AG36" s="8" t="s">
        <v>33</v>
      </c>
      <c r="AH36" s="7" t="n">
        <v>415</v>
      </c>
      <c r="AI36" s="7" t="n">
        <v>340</v>
      </c>
      <c r="AJ36" s="8" t="n">
        <v>0.955</v>
      </c>
      <c r="AK36" s="7" t="n">
        <v>350</v>
      </c>
      <c r="AL36" s="8" t="n">
        <v>0.978</v>
      </c>
      <c r="AM36" s="7" t="n">
        <v>355</v>
      </c>
      <c r="AN36" s="8" t="n">
        <v>0.994</v>
      </c>
      <c r="AO36" s="7" t="n">
        <v>355</v>
      </c>
      <c r="AP36" s="8" t="n">
        <v>1</v>
      </c>
      <c r="AQ36" s="7" t="n">
        <v>0</v>
      </c>
      <c r="AR36" s="8" t="n">
        <v>0</v>
      </c>
      <c r="AS36" s="7" t="n">
        <v>355</v>
      </c>
      <c r="AT36" s="7" t="n">
        <v>345</v>
      </c>
      <c r="AU36" s="8" t="n">
        <v>0.892</v>
      </c>
      <c r="AV36" s="7" t="n">
        <v>375</v>
      </c>
      <c r="AW36" s="8" t="n">
        <v>0.969</v>
      </c>
      <c r="AX36" s="7" t="n">
        <v>385</v>
      </c>
      <c r="AY36" s="8" t="n">
        <v>0.987</v>
      </c>
      <c r="AZ36" s="7" t="n">
        <v>390</v>
      </c>
      <c r="BA36" s="8" t="n">
        <v>1</v>
      </c>
      <c r="BB36" s="7" t="n">
        <v>0</v>
      </c>
      <c r="BC36" s="8" t="n">
        <v>0</v>
      </c>
      <c r="BD36" s="7" t="n">
        <v>390</v>
      </c>
      <c r="BE36" s="7" t="n">
        <v>320</v>
      </c>
      <c r="BF36" s="8" t="s">
        <v>33</v>
      </c>
      <c r="BG36" s="7" t="n">
        <v>355</v>
      </c>
      <c r="BH36" s="8" t="s">
        <v>33</v>
      </c>
      <c r="BI36" s="7" t="n">
        <v>360</v>
      </c>
      <c r="BJ36" s="8" t="s">
        <v>33</v>
      </c>
      <c r="BK36" s="7" t="n">
        <v>375</v>
      </c>
      <c r="BL36" s="8" t="s">
        <v>33</v>
      </c>
      <c r="BM36" s="7" t="s">
        <v>33</v>
      </c>
      <c r="BN36" s="8" t="s">
        <v>33</v>
      </c>
      <c r="BO36" s="7" t="n">
        <v>375</v>
      </c>
    </row>
    <row r="37" customFormat="false" ht="15" hidden="false" customHeight="false" outlineLevel="0" collapsed="false">
      <c r="A37" s="1" t="s">
        <v>68</v>
      </c>
      <c r="B37" s="7" t="n">
        <v>270</v>
      </c>
      <c r="C37" s="8" t="s">
        <v>33</v>
      </c>
      <c r="D37" s="7" t="n">
        <v>305</v>
      </c>
      <c r="E37" s="8" t="s">
        <v>33</v>
      </c>
      <c r="F37" s="7" t="n">
        <v>330</v>
      </c>
      <c r="G37" s="8" t="s">
        <v>33</v>
      </c>
      <c r="H37" s="7" t="n">
        <v>345</v>
      </c>
      <c r="I37" s="8" t="s">
        <v>33</v>
      </c>
      <c r="J37" s="7" t="s">
        <v>33</v>
      </c>
      <c r="K37" s="8" t="s">
        <v>33</v>
      </c>
      <c r="L37" s="7" t="n">
        <v>350</v>
      </c>
      <c r="M37" s="7" t="n">
        <v>180</v>
      </c>
      <c r="N37" s="8" t="s">
        <v>33</v>
      </c>
      <c r="O37" s="7" t="n">
        <v>210</v>
      </c>
      <c r="P37" s="8" t="s">
        <v>33</v>
      </c>
      <c r="Q37" s="7" t="n">
        <v>225</v>
      </c>
      <c r="R37" s="8" t="s">
        <v>33</v>
      </c>
      <c r="S37" s="7" t="n">
        <v>245</v>
      </c>
      <c r="T37" s="8" t="s">
        <v>33</v>
      </c>
      <c r="U37" s="7" t="s">
        <v>33</v>
      </c>
      <c r="V37" s="8" t="s">
        <v>33</v>
      </c>
      <c r="W37" s="7" t="n">
        <v>245</v>
      </c>
      <c r="X37" s="7" t="n">
        <v>175</v>
      </c>
      <c r="Y37" s="8" t="n">
        <v>0.731</v>
      </c>
      <c r="Z37" s="7" t="n">
        <v>205</v>
      </c>
      <c r="AA37" s="8" t="n">
        <v>0.855</v>
      </c>
      <c r="AB37" s="7" t="n">
        <v>225</v>
      </c>
      <c r="AC37" s="8" t="n">
        <v>0.938</v>
      </c>
      <c r="AD37" s="7" t="n">
        <v>235</v>
      </c>
      <c r="AE37" s="8" t="n">
        <v>0.971</v>
      </c>
      <c r="AF37" s="7" t="n">
        <v>5</v>
      </c>
      <c r="AG37" s="8" t="n">
        <v>0.029</v>
      </c>
      <c r="AH37" s="7" t="n">
        <v>240</v>
      </c>
      <c r="AI37" s="7" t="n">
        <v>170</v>
      </c>
      <c r="AJ37" s="8" t="s">
        <v>33</v>
      </c>
      <c r="AK37" s="7" t="n">
        <v>200</v>
      </c>
      <c r="AL37" s="8" t="s">
        <v>33</v>
      </c>
      <c r="AM37" s="7" t="n">
        <v>220</v>
      </c>
      <c r="AN37" s="8" t="s">
        <v>33</v>
      </c>
      <c r="AO37" s="7" t="n">
        <v>230</v>
      </c>
      <c r="AP37" s="8" t="s">
        <v>33</v>
      </c>
      <c r="AQ37" s="7" t="s">
        <v>33</v>
      </c>
      <c r="AR37" s="8" t="s">
        <v>33</v>
      </c>
      <c r="AS37" s="7" t="n">
        <v>235</v>
      </c>
      <c r="AT37" s="7" t="n">
        <v>185</v>
      </c>
      <c r="AU37" s="8" t="s">
        <v>33</v>
      </c>
      <c r="AV37" s="7" t="n">
        <v>220</v>
      </c>
      <c r="AW37" s="8" t="s">
        <v>33</v>
      </c>
      <c r="AX37" s="7" t="n">
        <v>240</v>
      </c>
      <c r="AY37" s="8" t="s">
        <v>33</v>
      </c>
      <c r="AZ37" s="7" t="n">
        <v>245</v>
      </c>
      <c r="BA37" s="8" t="s">
        <v>33</v>
      </c>
      <c r="BB37" s="7" t="s">
        <v>33</v>
      </c>
      <c r="BC37" s="8" t="s">
        <v>33</v>
      </c>
      <c r="BD37" s="7" t="n">
        <v>245</v>
      </c>
      <c r="BE37" s="7" t="n">
        <v>140</v>
      </c>
      <c r="BF37" s="8" t="s">
        <v>33</v>
      </c>
      <c r="BG37" s="7" t="n">
        <v>155</v>
      </c>
      <c r="BH37" s="8" t="s">
        <v>33</v>
      </c>
      <c r="BI37" s="7" t="n">
        <v>180</v>
      </c>
      <c r="BJ37" s="8" t="s">
        <v>33</v>
      </c>
      <c r="BK37" s="7" t="n">
        <v>185</v>
      </c>
      <c r="BL37" s="8" t="s">
        <v>33</v>
      </c>
      <c r="BM37" s="7" t="s">
        <v>33</v>
      </c>
      <c r="BN37" s="8" t="s">
        <v>33</v>
      </c>
      <c r="BO37" s="7" t="n">
        <v>190</v>
      </c>
    </row>
    <row r="38" customFormat="false" ht="15" hidden="false" customHeight="false" outlineLevel="0" collapsed="false">
      <c r="A38" s="1" t="s">
        <v>160</v>
      </c>
      <c r="B38" s="7" t="n">
        <v>35</v>
      </c>
      <c r="C38" s="8" t="n">
        <v>1</v>
      </c>
      <c r="D38" s="7" t="n">
        <v>35</v>
      </c>
      <c r="E38" s="8" t="n">
        <v>1</v>
      </c>
      <c r="F38" s="7" t="n">
        <v>35</v>
      </c>
      <c r="G38" s="8" t="n">
        <v>1</v>
      </c>
      <c r="H38" s="7" t="n">
        <v>35</v>
      </c>
      <c r="I38" s="8" t="n">
        <v>1</v>
      </c>
      <c r="J38" s="7" t="n">
        <v>0</v>
      </c>
      <c r="K38" s="8" t="n">
        <v>0</v>
      </c>
      <c r="L38" s="7" t="n">
        <v>35</v>
      </c>
      <c r="M38" s="7" t="n">
        <v>25</v>
      </c>
      <c r="N38" s="8" t="n">
        <v>1</v>
      </c>
      <c r="O38" s="7" t="n">
        <v>25</v>
      </c>
      <c r="P38" s="8" t="n">
        <v>1</v>
      </c>
      <c r="Q38" s="7" t="n">
        <v>25</v>
      </c>
      <c r="R38" s="8" t="n">
        <v>1</v>
      </c>
      <c r="S38" s="7" t="n">
        <v>25</v>
      </c>
      <c r="T38" s="8" t="n">
        <v>1</v>
      </c>
      <c r="U38" s="7" t="n">
        <v>0</v>
      </c>
      <c r="V38" s="8" t="n">
        <v>0</v>
      </c>
      <c r="W38" s="7" t="n">
        <v>25</v>
      </c>
      <c r="X38" s="7" t="n">
        <v>10</v>
      </c>
      <c r="Y38" s="8" t="n">
        <v>1</v>
      </c>
      <c r="Z38" s="7" t="n">
        <v>10</v>
      </c>
      <c r="AA38" s="8" t="n">
        <v>1</v>
      </c>
      <c r="AB38" s="7" t="n">
        <v>10</v>
      </c>
      <c r="AC38" s="8" t="n">
        <v>1</v>
      </c>
      <c r="AD38" s="7" t="n">
        <v>10</v>
      </c>
      <c r="AE38" s="8" t="n">
        <v>1</v>
      </c>
      <c r="AF38" s="7" t="n">
        <v>0</v>
      </c>
      <c r="AG38" s="8" t="n">
        <v>0</v>
      </c>
      <c r="AH38" s="7" t="n">
        <v>10</v>
      </c>
      <c r="AI38" s="7" t="n">
        <v>5</v>
      </c>
      <c r="AJ38" s="8" t="n">
        <v>1</v>
      </c>
      <c r="AK38" s="7" t="n">
        <v>5</v>
      </c>
      <c r="AL38" s="8" t="n">
        <v>1</v>
      </c>
      <c r="AM38" s="7" t="n">
        <v>5</v>
      </c>
      <c r="AN38" s="8" t="n">
        <v>1</v>
      </c>
      <c r="AO38" s="7" t="n">
        <v>5</v>
      </c>
      <c r="AP38" s="8" t="n">
        <v>1</v>
      </c>
      <c r="AQ38" s="7" t="n">
        <v>0</v>
      </c>
      <c r="AR38" s="8" t="n">
        <v>0</v>
      </c>
      <c r="AS38" s="7" t="n">
        <v>5</v>
      </c>
      <c r="AT38" s="7" t="n">
        <v>5</v>
      </c>
      <c r="AU38" s="8" t="n">
        <v>1</v>
      </c>
      <c r="AV38" s="7" t="n">
        <v>5</v>
      </c>
      <c r="AW38" s="8" t="n">
        <v>1</v>
      </c>
      <c r="AX38" s="7" t="n">
        <v>5</v>
      </c>
      <c r="AY38" s="8" t="n">
        <v>1</v>
      </c>
      <c r="AZ38" s="7" t="n">
        <v>5</v>
      </c>
      <c r="BA38" s="8" t="n">
        <v>1</v>
      </c>
      <c r="BB38" s="7" t="n">
        <v>0</v>
      </c>
      <c r="BC38" s="8" t="n">
        <v>0</v>
      </c>
      <c r="BD38" s="7" t="n">
        <v>5</v>
      </c>
      <c r="BE38" s="7" t="s">
        <v>35</v>
      </c>
      <c r="BF38" s="8" t="s">
        <v>35</v>
      </c>
      <c r="BG38" s="7" t="s">
        <v>35</v>
      </c>
      <c r="BH38" s="8" t="s">
        <v>35</v>
      </c>
      <c r="BI38" s="7" t="s">
        <v>35</v>
      </c>
      <c r="BJ38" s="8" t="s">
        <v>35</v>
      </c>
      <c r="BK38" s="7" t="s">
        <v>35</v>
      </c>
      <c r="BL38" s="8" t="s">
        <v>35</v>
      </c>
      <c r="BM38" s="7" t="s">
        <v>35</v>
      </c>
      <c r="BN38" s="8" t="s">
        <v>35</v>
      </c>
      <c r="BO38" s="7" t="n">
        <v>0</v>
      </c>
    </row>
    <row r="39" customFormat="false" ht="15" hidden="false" customHeight="false" outlineLevel="0" collapsed="false">
      <c r="A39" s="1" t="s">
        <v>88</v>
      </c>
      <c r="B39" s="7" t="n">
        <v>45</v>
      </c>
      <c r="C39" s="8" t="n">
        <v>0.517</v>
      </c>
      <c r="D39" s="7" t="n">
        <v>65</v>
      </c>
      <c r="E39" s="8" t="n">
        <v>0.708</v>
      </c>
      <c r="F39" s="7" t="n">
        <v>75</v>
      </c>
      <c r="G39" s="8" t="n">
        <v>0.843</v>
      </c>
      <c r="H39" s="7" t="n">
        <v>80</v>
      </c>
      <c r="I39" s="8" t="n">
        <v>0.921</v>
      </c>
      <c r="J39" s="7" t="n">
        <v>5</v>
      </c>
      <c r="K39" s="8" t="n">
        <v>0.079</v>
      </c>
      <c r="L39" s="7" t="n">
        <v>90</v>
      </c>
      <c r="M39" s="7" t="n">
        <v>25</v>
      </c>
      <c r="N39" s="8" t="n">
        <v>0.387</v>
      </c>
      <c r="O39" s="7" t="n">
        <v>35</v>
      </c>
      <c r="P39" s="8" t="n">
        <v>0.565</v>
      </c>
      <c r="Q39" s="7" t="n">
        <v>45</v>
      </c>
      <c r="R39" s="8" t="n">
        <v>0.694</v>
      </c>
      <c r="S39" s="7" t="n">
        <v>50</v>
      </c>
      <c r="T39" s="8" t="n">
        <v>0.839</v>
      </c>
      <c r="U39" s="7" t="n">
        <v>10</v>
      </c>
      <c r="V39" s="8" t="n">
        <v>0.161</v>
      </c>
      <c r="W39" s="7" t="n">
        <v>60</v>
      </c>
      <c r="X39" s="7" t="n">
        <v>30</v>
      </c>
      <c r="Y39" s="8" t="n">
        <v>0.4</v>
      </c>
      <c r="Z39" s="7" t="n">
        <v>40</v>
      </c>
      <c r="AA39" s="8" t="n">
        <v>0.586</v>
      </c>
      <c r="AB39" s="7" t="n">
        <v>55</v>
      </c>
      <c r="AC39" s="8" t="n">
        <v>0.771</v>
      </c>
      <c r="AD39" s="7" t="n">
        <v>60</v>
      </c>
      <c r="AE39" s="8" t="n">
        <v>0.886</v>
      </c>
      <c r="AF39" s="7" t="n">
        <v>10</v>
      </c>
      <c r="AG39" s="8" t="n">
        <v>0.114</v>
      </c>
      <c r="AH39" s="7" t="n">
        <v>70</v>
      </c>
      <c r="AI39" s="7" t="n">
        <v>25</v>
      </c>
      <c r="AJ39" s="8" t="n">
        <v>0.464</v>
      </c>
      <c r="AK39" s="7" t="n">
        <v>40</v>
      </c>
      <c r="AL39" s="8" t="n">
        <v>0.732</v>
      </c>
      <c r="AM39" s="7" t="n">
        <v>55</v>
      </c>
      <c r="AN39" s="8" t="n">
        <v>0.982</v>
      </c>
      <c r="AO39" s="7" t="n">
        <v>55</v>
      </c>
      <c r="AP39" s="8" t="n">
        <v>1</v>
      </c>
      <c r="AQ39" s="7" t="n">
        <v>0</v>
      </c>
      <c r="AR39" s="8" t="n">
        <v>0</v>
      </c>
      <c r="AS39" s="7" t="n">
        <v>55</v>
      </c>
      <c r="AT39" s="7" t="n">
        <v>30</v>
      </c>
      <c r="AU39" s="8" t="s">
        <v>33</v>
      </c>
      <c r="AV39" s="7" t="n">
        <v>45</v>
      </c>
      <c r="AW39" s="8" t="s">
        <v>33</v>
      </c>
      <c r="AX39" s="7" t="n">
        <v>50</v>
      </c>
      <c r="AY39" s="8" t="s">
        <v>33</v>
      </c>
      <c r="AZ39" s="7" t="n">
        <v>60</v>
      </c>
      <c r="BA39" s="8" t="s">
        <v>33</v>
      </c>
      <c r="BB39" s="7" t="s">
        <v>33</v>
      </c>
      <c r="BC39" s="8" t="s">
        <v>33</v>
      </c>
      <c r="BD39" s="7" t="n">
        <v>60</v>
      </c>
      <c r="BE39" s="7" t="n">
        <v>25</v>
      </c>
      <c r="BF39" s="8" t="s">
        <v>33</v>
      </c>
      <c r="BG39" s="7" t="n">
        <v>45</v>
      </c>
      <c r="BH39" s="8" t="s">
        <v>33</v>
      </c>
      <c r="BI39" s="7" t="n">
        <v>55</v>
      </c>
      <c r="BJ39" s="8" t="s">
        <v>33</v>
      </c>
      <c r="BK39" s="7" t="n">
        <v>60</v>
      </c>
      <c r="BL39" s="8" t="s">
        <v>33</v>
      </c>
      <c r="BM39" s="7" t="s">
        <v>33</v>
      </c>
      <c r="BN39" s="8" t="s">
        <v>33</v>
      </c>
      <c r="BO39" s="7" t="n">
        <v>65</v>
      </c>
    </row>
    <row r="40" customFormat="false" ht="15" hidden="false" customHeight="false" outlineLevel="0" collapsed="false">
      <c r="A40" s="1" t="s">
        <v>89</v>
      </c>
      <c r="B40" s="7" t="n">
        <v>14565</v>
      </c>
      <c r="C40" s="8" t="n">
        <v>0.398</v>
      </c>
      <c r="D40" s="7" t="n">
        <v>20225</v>
      </c>
      <c r="E40" s="8" t="n">
        <v>0.553</v>
      </c>
      <c r="F40" s="7" t="n">
        <v>24925</v>
      </c>
      <c r="G40" s="8" t="n">
        <v>0.681</v>
      </c>
      <c r="H40" s="7" t="n">
        <v>29350</v>
      </c>
      <c r="I40" s="8" t="n">
        <v>0.802</v>
      </c>
      <c r="J40" s="7" t="n">
        <v>7250</v>
      </c>
      <c r="K40" s="8" t="n">
        <v>0.198</v>
      </c>
      <c r="L40" s="7" t="n">
        <v>36600</v>
      </c>
      <c r="M40" s="7" t="n">
        <v>10610</v>
      </c>
      <c r="N40" s="8" t="n">
        <v>0.283</v>
      </c>
      <c r="O40" s="7" t="n">
        <v>16725</v>
      </c>
      <c r="P40" s="8" t="n">
        <v>0.446</v>
      </c>
      <c r="Q40" s="7" t="n">
        <v>23385</v>
      </c>
      <c r="R40" s="8" t="n">
        <v>0.624</v>
      </c>
      <c r="S40" s="7" t="n">
        <v>30055</v>
      </c>
      <c r="T40" s="8" t="n">
        <v>0.802</v>
      </c>
      <c r="U40" s="7" t="n">
        <v>7440</v>
      </c>
      <c r="V40" s="8" t="n">
        <v>0.198</v>
      </c>
      <c r="W40" s="7" t="n">
        <v>37495</v>
      </c>
      <c r="X40" s="7" t="n">
        <v>14075</v>
      </c>
      <c r="Y40" s="8" t="n">
        <v>0.368</v>
      </c>
      <c r="Z40" s="7" t="n">
        <v>20900</v>
      </c>
      <c r="AA40" s="8" t="n">
        <v>0.547</v>
      </c>
      <c r="AB40" s="7" t="n">
        <v>26640</v>
      </c>
      <c r="AC40" s="8" t="n">
        <v>0.697</v>
      </c>
      <c r="AD40" s="7" t="n">
        <v>31985</v>
      </c>
      <c r="AE40" s="8" t="n">
        <v>0.837</v>
      </c>
      <c r="AF40" s="7" t="n">
        <v>6245</v>
      </c>
      <c r="AG40" s="8" t="n">
        <v>0.163</v>
      </c>
      <c r="AH40" s="7" t="n">
        <v>38225</v>
      </c>
      <c r="AI40" s="7" t="n">
        <v>13785</v>
      </c>
      <c r="AJ40" s="8" t="n">
        <v>0.378</v>
      </c>
      <c r="AK40" s="7" t="n">
        <v>19735</v>
      </c>
      <c r="AL40" s="8" t="n">
        <v>0.542</v>
      </c>
      <c r="AM40" s="7" t="n">
        <v>26580</v>
      </c>
      <c r="AN40" s="8" t="n">
        <v>0.73</v>
      </c>
      <c r="AO40" s="7" t="n">
        <v>30625</v>
      </c>
      <c r="AP40" s="8" t="n">
        <v>0.841</v>
      </c>
      <c r="AQ40" s="7" t="n">
        <v>5800</v>
      </c>
      <c r="AR40" s="8" t="n">
        <v>0.159</v>
      </c>
      <c r="AS40" s="7" t="n">
        <v>36425</v>
      </c>
      <c r="AT40" s="7" t="n">
        <v>15150</v>
      </c>
      <c r="AU40" s="8" t="n">
        <v>0.368</v>
      </c>
      <c r="AV40" s="7" t="n">
        <v>23455</v>
      </c>
      <c r="AW40" s="8" t="n">
        <v>0.569</v>
      </c>
      <c r="AX40" s="7" t="n">
        <v>32620</v>
      </c>
      <c r="AY40" s="8" t="n">
        <v>0.791</v>
      </c>
      <c r="AZ40" s="7" t="n">
        <v>36740</v>
      </c>
      <c r="BA40" s="8" t="n">
        <v>0.891</v>
      </c>
      <c r="BB40" s="7" t="n">
        <v>4485</v>
      </c>
      <c r="BC40" s="8" t="n">
        <v>0.109</v>
      </c>
      <c r="BD40" s="7" t="n">
        <v>41225</v>
      </c>
      <c r="BE40" s="7" t="n">
        <v>12825</v>
      </c>
      <c r="BF40" s="8" t="n">
        <v>0.309</v>
      </c>
      <c r="BG40" s="7" t="n">
        <v>20330</v>
      </c>
      <c r="BH40" s="8" t="n">
        <v>0.49</v>
      </c>
      <c r="BI40" s="7" t="n">
        <v>27185</v>
      </c>
      <c r="BJ40" s="8" t="n">
        <v>0.655</v>
      </c>
      <c r="BK40" s="7" t="n">
        <v>33270</v>
      </c>
      <c r="BL40" s="8" t="n">
        <v>0.801</v>
      </c>
      <c r="BM40" s="7" t="n">
        <v>8250</v>
      </c>
      <c r="BN40" s="8" t="n">
        <v>0.199</v>
      </c>
      <c r="BO40" s="7" t="n">
        <v>41525</v>
      </c>
    </row>
    <row r="41" customFormat="false" ht="15" hidden="false" customHeight="false" outlineLevel="0" collapsed="false">
      <c r="A41" s="1" t="s">
        <v>69</v>
      </c>
      <c r="B41" s="7" t="n">
        <v>535</v>
      </c>
      <c r="C41" s="8" t="n">
        <v>0.395</v>
      </c>
      <c r="D41" s="7" t="n">
        <v>790</v>
      </c>
      <c r="E41" s="8" t="n">
        <v>0.582</v>
      </c>
      <c r="F41" s="7" t="n">
        <v>1045</v>
      </c>
      <c r="G41" s="8" t="n">
        <v>0.77</v>
      </c>
      <c r="H41" s="7" t="n">
        <v>1215</v>
      </c>
      <c r="I41" s="8" t="n">
        <v>0.894</v>
      </c>
      <c r="J41" s="7" t="n">
        <v>145</v>
      </c>
      <c r="K41" s="8" t="n">
        <v>0.106</v>
      </c>
      <c r="L41" s="7" t="n">
        <v>1360</v>
      </c>
      <c r="M41" s="7" t="n">
        <v>535</v>
      </c>
      <c r="N41" s="8" t="n">
        <v>0.412</v>
      </c>
      <c r="O41" s="7" t="n">
        <v>760</v>
      </c>
      <c r="P41" s="8" t="n">
        <v>0.584</v>
      </c>
      <c r="Q41" s="7" t="n">
        <v>940</v>
      </c>
      <c r="R41" s="8" t="n">
        <v>0.724</v>
      </c>
      <c r="S41" s="7" t="n">
        <v>1105</v>
      </c>
      <c r="T41" s="8" t="n">
        <v>0.848</v>
      </c>
      <c r="U41" s="7" t="n">
        <v>200</v>
      </c>
      <c r="V41" s="8" t="n">
        <v>0.152</v>
      </c>
      <c r="W41" s="7" t="n">
        <v>1300</v>
      </c>
      <c r="X41" s="7" t="n">
        <v>470</v>
      </c>
      <c r="Y41" s="8" t="n">
        <v>0.428</v>
      </c>
      <c r="Z41" s="7" t="n">
        <v>670</v>
      </c>
      <c r="AA41" s="8" t="n">
        <v>0.609</v>
      </c>
      <c r="AB41" s="7" t="n">
        <v>825</v>
      </c>
      <c r="AC41" s="8" t="n">
        <v>0.75</v>
      </c>
      <c r="AD41" s="7" t="n">
        <v>950</v>
      </c>
      <c r="AE41" s="8" t="n">
        <v>0.864</v>
      </c>
      <c r="AF41" s="7" t="n">
        <v>150</v>
      </c>
      <c r="AG41" s="8" t="n">
        <v>0.136</v>
      </c>
      <c r="AH41" s="7" t="n">
        <v>1100</v>
      </c>
      <c r="AI41" s="7" t="n">
        <v>450</v>
      </c>
      <c r="AJ41" s="8" t="n">
        <v>0.449</v>
      </c>
      <c r="AK41" s="7" t="n">
        <v>635</v>
      </c>
      <c r="AL41" s="8" t="n">
        <v>0.633</v>
      </c>
      <c r="AM41" s="7" t="n">
        <v>840</v>
      </c>
      <c r="AN41" s="8" t="n">
        <v>0.837</v>
      </c>
      <c r="AO41" s="7" t="n">
        <v>920</v>
      </c>
      <c r="AP41" s="8" t="n">
        <v>0.916</v>
      </c>
      <c r="AQ41" s="7" t="n">
        <v>85</v>
      </c>
      <c r="AR41" s="8" t="n">
        <v>0.084</v>
      </c>
      <c r="AS41" s="7" t="n">
        <v>1005</v>
      </c>
      <c r="AT41" s="7" t="n">
        <v>385</v>
      </c>
      <c r="AU41" s="8" t="n">
        <v>0.399</v>
      </c>
      <c r="AV41" s="7" t="n">
        <v>635</v>
      </c>
      <c r="AW41" s="8" t="n">
        <v>0.652</v>
      </c>
      <c r="AX41" s="7" t="n">
        <v>890</v>
      </c>
      <c r="AY41" s="8" t="n">
        <v>0.918</v>
      </c>
      <c r="AZ41" s="7" t="n">
        <v>950</v>
      </c>
      <c r="BA41" s="8" t="n">
        <v>0.979</v>
      </c>
      <c r="BB41" s="7" t="n">
        <v>20</v>
      </c>
      <c r="BC41" s="8" t="n">
        <v>0.021</v>
      </c>
      <c r="BD41" s="7" t="n">
        <v>970</v>
      </c>
      <c r="BE41" s="7" t="n">
        <v>290</v>
      </c>
      <c r="BF41" s="8" t="n">
        <v>0.299</v>
      </c>
      <c r="BG41" s="7" t="n">
        <v>475</v>
      </c>
      <c r="BH41" s="8" t="n">
        <v>0.489</v>
      </c>
      <c r="BI41" s="7" t="n">
        <v>640</v>
      </c>
      <c r="BJ41" s="8" t="n">
        <v>0.659</v>
      </c>
      <c r="BK41" s="7" t="n">
        <v>810</v>
      </c>
      <c r="BL41" s="8" t="n">
        <v>0.833</v>
      </c>
      <c r="BM41" s="7" t="n">
        <v>160</v>
      </c>
      <c r="BN41" s="8" t="n">
        <v>0.167</v>
      </c>
      <c r="BO41" s="7" t="n">
        <v>970</v>
      </c>
    </row>
    <row r="42" customFormat="false" ht="15" hidden="false" customHeight="false" outlineLevel="0" collapsed="false">
      <c r="A42" s="1" t="s">
        <v>70</v>
      </c>
      <c r="B42" s="7" t="n">
        <v>5085</v>
      </c>
      <c r="C42" s="8" t="n">
        <v>0.394</v>
      </c>
      <c r="D42" s="7" t="n">
        <v>7465</v>
      </c>
      <c r="E42" s="8" t="n">
        <v>0.578</v>
      </c>
      <c r="F42" s="7" t="n">
        <v>9625</v>
      </c>
      <c r="G42" s="8" t="n">
        <v>0.745</v>
      </c>
      <c r="H42" s="7" t="n">
        <v>11295</v>
      </c>
      <c r="I42" s="8" t="n">
        <v>0.875</v>
      </c>
      <c r="J42" s="7" t="n">
        <v>1620</v>
      </c>
      <c r="K42" s="8" t="n">
        <v>0.125</v>
      </c>
      <c r="L42" s="7" t="n">
        <v>12915</v>
      </c>
      <c r="M42" s="7" t="n">
        <v>4545</v>
      </c>
      <c r="N42" s="8" t="n">
        <v>0.331</v>
      </c>
      <c r="O42" s="7" t="n">
        <v>7595</v>
      </c>
      <c r="P42" s="8" t="n">
        <v>0.553</v>
      </c>
      <c r="Q42" s="7" t="n">
        <v>10220</v>
      </c>
      <c r="R42" s="8" t="n">
        <v>0.745</v>
      </c>
      <c r="S42" s="7" t="n">
        <v>11990</v>
      </c>
      <c r="T42" s="8" t="n">
        <v>0.874</v>
      </c>
      <c r="U42" s="7" t="n">
        <v>1735</v>
      </c>
      <c r="V42" s="8" t="n">
        <v>0.126</v>
      </c>
      <c r="W42" s="7" t="n">
        <v>13725</v>
      </c>
      <c r="X42" s="7" t="n">
        <v>4320</v>
      </c>
      <c r="Y42" s="8" t="n">
        <v>0.317</v>
      </c>
      <c r="Z42" s="7" t="n">
        <v>7265</v>
      </c>
      <c r="AA42" s="8" t="n">
        <v>0.533</v>
      </c>
      <c r="AB42" s="7" t="n">
        <v>10105</v>
      </c>
      <c r="AC42" s="8" t="n">
        <v>0.741</v>
      </c>
      <c r="AD42" s="7" t="n">
        <v>12155</v>
      </c>
      <c r="AE42" s="8" t="n">
        <v>0.891</v>
      </c>
      <c r="AF42" s="7" t="n">
        <v>1480</v>
      </c>
      <c r="AG42" s="8" t="n">
        <v>0.109</v>
      </c>
      <c r="AH42" s="7" t="n">
        <v>13635</v>
      </c>
      <c r="AI42" s="7" t="n">
        <v>7105</v>
      </c>
      <c r="AJ42" s="8" t="n">
        <v>0.549</v>
      </c>
      <c r="AK42" s="7" t="n">
        <v>9490</v>
      </c>
      <c r="AL42" s="8" t="n">
        <v>0.734</v>
      </c>
      <c r="AM42" s="7" t="n">
        <v>11610</v>
      </c>
      <c r="AN42" s="8" t="n">
        <v>0.898</v>
      </c>
      <c r="AO42" s="7" t="n">
        <v>12495</v>
      </c>
      <c r="AP42" s="8" t="n">
        <v>0.966</v>
      </c>
      <c r="AQ42" s="7" t="n">
        <v>440</v>
      </c>
      <c r="AR42" s="8" t="n">
        <v>0.034</v>
      </c>
      <c r="AS42" s="7" t="n">
        <v>12930</v>
      </c>
      <c r="AT42" s="7" t="n">
        <v>4990</v>
      </c>
      <c r="AU42" s="8" t="n">
        <v>0.409</v>
      </c>
      <c r="AV42" s="7" t="n">
        <v>7915</v>
      </c>
      <c r="AW42" s="8" t="n">
        <v>0.65</v>
      </c>
      <c r="AX42" s="7" t="n">
        <v>10850</v>
      </c>
      <c r="AY42" s="8" t="n">
        <v>0.891</v>
      </c>
      <c r="AZ42" s="7" t="n">
        <v>11805</v>
      </c>
      <c r="BA42" s="8" t="n">
        <v>0.969</v>
      </c>
      <c r="BB42" s="7" t="n">
        <v>380</v>
      </c>
      <c r="BC42" s="8" t="n">
        <v>0.031</v>
      </c>
      <c r="BD42" s="7" t="n">
        <v>12185</v>
      </c>
      <c r="BE42" s="7" t="n">
        <v>3585</v>
      </c>
      <c r="BF42" s="8" t="n">
        <v>0.3</v>
      </c>
      <c r="BG42" s="7" t="n">
        <v>6290</v>
      </c>
      <c r="BH42" s="8" t="n">
        <v>0.526</v>
      </c>
      <c r="BI42" s="7" t="n">
        <v>8780</v>
      </c>
      <c r="BJ42" s="8" t="n">
        <v>0.734</v>
      </c>
      <c r="BK42" s="7" t="n">
        <v>10500</v>
      </c>
      <c r="BL42" s="8" t="n">
        <v>0.878</v>
      </c>
      <c r="BM42" s="7" t="n">
        <v>1460</v>
      </c>
      <c r="BN42" s="8" t="n">
        <v>0.122</v>
      </c>
      <c r="BO42" s="7" t="n">
        <v>11960</v>
      </c>
    </row>
    <row r="43" customFormat="false" ht="15" hidden="false" customHeight="false" outlineLevel="0" collapsed="false">
      <c r="A43" s="1" t="s">
        <v>71</v>
      </c>
      <c r="B43" s="7" t="n">
        <v>4260</v>
      </c>
      <c r="C43" s="8" t="n">
        <v>0.551</v>
      </c>
      <c r="D43" s="7" t="n">
        <v>6020</v>
      </c>
      <c r="E43" s="8" t="n">
        <v>0.779</v>
      </c>
      <c r="F43" s="7" t="n">
        <v>7035</v>
      </c>
      <c r="G43" s="8" t="n">
        <v>0.91</v>
      </c>
      <c r="H43" s="7" t="n">
        <v>7525</v>
      </c>
      <c r="I43" s="8" t="n">
        <v>0.974</v>
      </c>
      <c r="J43" s="7" t="n">
        <v>205</v>
      </c>
      <c r="K43" s="8" t="n">
        <v>0.026</v>
      </c>
      <c r="L43" s="7" t="n">
        <v>7730</v>
      </c>
      <c r="M43" s="7" t="n">
        <v>4580</v>
      </c>
      <c r="N43" s="8" t="n">
        <v>0.606</v>
      </c>
      <c r="O43" s="7" t="n">
        <v>6220</v>
      </c>
      <c r="P43" s="8" t="n">
        <v>0.823</v>
      </c>
      <c r="Q43" s="7" t="n">
        <v>7015</v>
      </c>
      <c r="R43" s="8" t="n">
        <v>0.928</v>
      </c>
      <c r="S43" s="7" t="n">
        <v>7390</v>
      </c>
      <c r="T43" s="8" t="n">
        <v>0.978</v>
      </c>
      <c r="U43" s="7" t="n">
        <v>165</v>
      </c>
      <c r="V43" s="8" t="n">
        <v>0.022</v>
      </c>
      <c r="W43" s="7" t="n">
        <v>7555</v>
      </c>
      <c r="X43" s="7" t="n">
        <v>4340</v>
      </c>
      <c r="Y43" s="8" t="n">
        <v>0.565</v>
      </c>
      <c r="Z43" s="7" t="n">
        <v>6230</v>
      </c>
      <c r="AA43" s="8" t="n">
        <v>0.812</v>
      </c>
      <c r="AB43" s="7" t="n">
        <v>7140</v>
      </c>
      <c r="AC43" s="8" t="n">
        <v>0.93</v>
      </c>
      <c r="AD43" s="7" t="n">
        <v>7535</v>
      </c>
      <c r="AE43" s="8" t="n">
        <v>0.982</v>
      </c>
      <c r="AF43" s="7" t="n">
        <v>140</v>
      </c>
      <c r="AG43" s="8" t="n">
        <v>0.018</v>
      </c>
      <c r="AH43" s="7" t="n">
        <v>7675</v>
      </c>
      <c r="AI43" s="7" t="n">
        <v>5550</v>
      </c>
      <c r="AJ43" s="8" t="n">
        <v>0.669</v>
      </c>
      <c r="AK43" s="7" t="n">
        <v>7145</v>
      </c>
      <c r="AL43" s="8" t="n">
        <v>0.861</v>
      </c>
      <c r="AM43" s="7" t="n">
        <v>8060</v>
      </c>
      <c r="AN43" s="8" t="n">
        <v>0.971</v>
      </c>
      <c r="AO43" s="7" t="n">
        <v>8220</v>
      </c>
      <c r="AP43" s="8" t="n">
        <v>0.991</v>
      </c>
      <c r="AQ43" s="7" t="n">
        <v>80</v>
      </c>
      <c r="AR43" s="8" t="n">
        <v>0.009</v>
      </c>
      <c r="AS43" s="7" t="n">
        <v>8295</v>
      </c>
      <c r="AT43" s="7" t="n">
        <v>4620</v>
      </c>
      <c r="AU43" s="8" t="n">
        <v>0.605</v>
      </c>
      <c r="AV43" s="7" t="n">
        <v>6480</v>
      </c>
      <c r="AW43" s="8" t="n">
        <v>0.849</v>
      </c>
      <c r="AX43" s="7" t="n">
        <v>7430</v>
      </c>
      <c r="AY43" s="8" t="n">
        <v>0.973</v>
      </c>
      <c r="AZ43" s="7" t="n">
        <v>7585</v>
      </c>
      <c r="BA43" s="8" t="n">
        <v>0.994</v>
      </c>
      <c r="BB43" s="7" t="n">
        <v>45</v>
      </c>
      <c r="BC43" s="8" t="n">
        <v>0.006</v>
      </c>
      <c r="BD43" s="7" t="n">
        <v>7635</v>
      </c>
      <c r="BE43" s="7" t="n">
        <v>4380</v>
      </c>
      <c r="BF43" s="8" t="n">
        <v>0.608</v>
      </c>
      <c r="BG43" s="7" t="n">
        <v>5990</v>
      </c>
      <c r="BH43" s="8" t="n">
        <v>0.832</v>
      </c>
      <c r="BI43" s="7" t="n">
        <v>6765</v>
      </c>
      <c r="BJ43" s="8" t="n">
        <v>0.94</v>
      </c>
      <c r="BK43" s="7" t="n">
        <v>7065</v>
      </c>
      <c r="BL43" s="8" t="n">
        <v>0.981</v>
      </c>
      <c r="BM43" s="7" t="n">
        <v>140</v>
      </c>
      <c r="BN43" s="8" t="n">
        <v>0.019</v>
      </c>
      <c r="BO43" s="7" t="n">
        <v>7200</v>
      </c>
    </row>
    <row r="44" customFormat="false" ht="15" hidden="false" customHeight="false" outlineLevel="0" collapsed="false">
      <c r="A44" s="1" t="s">
        <v>72</v>
      </c>
      <c r="B44" s="7" t="n">
        <v>450</v>
      </c>
      <c r="C44" s="8" t="n">
        <v>0.303</v>
      </c>
      <c r="D44" s="7" t="n">
        <v>940</v>
      </c>
      <c r="E44" s="8" t="n">
        <v>0.633</v>
      </c>
      <c r="F44" s="7" t="n">
        <v>1290</v>
      </c>
      <c r="G44" s="8" t="n">
        <v>0.87</v>
      </c>
      <c r="H44" s="7" t="n">
        <v>1430</v>
      </c>
      <c r="I44" s="8" t="n">
        <v>0.963</v>
      </c>
      <c r="J44" s="7" t="n">
        <v>55</v>
      </c>
      <c r="K44" s="8" t="n">
        <v>0.037</v>
      </c>
      <c r="L44" s="7" t="n">
        <v>1485</v>
      </c>
      <c r="M44" s="7" t="n">
        <v>415</v>
      </c>
      <c r="N44" s="8" t="n">
        <v>0.291</v>
      </c>
      <c r="O44" s="7" t="n">
        <v>915</v>
      </c>
      <c r="P44" s="8" t="n">
        <v>0.643</v>
      </c>
      <c r="Q44" s="7" t="n">
        <v>1250</v>
      </c>
      <c r="R44" s="8" t="n">
        <v>0.877</v>
      </c>
      <c r="S44" s="7" t="n">
        <v>1385</v>
      </c>
      <c r="T44" s="8" t="n">
        <v>0.973</v>
      </c>
      <c r="U44" s="7" t="n">
        <v>40</v>
      </c>
      <c r="V44" s="8" t="n">
        <v>0.027</v>
      </c>
      <c r="W44" s="7" t="n">
        <v>1425</v>
      </c>
      <c r="X44" s="7" t="n">
        <v>480</v>
      </c>
      <c r="Y44" s="8" t="n">
        <v>0.355</v>
      </c>
      <c r="Z44" s="7" t="n">
        <v>905</v>
      </c>
      <c r="AA44" s="8" t="n">
        <v>0.674</v>
      </c>
      <c r="AB44" s="7" t="n">
        <v>1145</v>
      </c>
      <c r="AC44" s="8" t="n">
        <v>0.851</v>
      </c>
      <c r="AD44" s="7" t="n">
        <v>1275</v>
      </c>
      <c r="AE44" s="8" t="n">
        <v>0.949</v>
      </c>
      <c r="AF44" s="7" t="n">
        <v>70</v>
      </c>
      <c r="AG44" s="8" t="n">
        <v>0.051</v>
      </c>
      <c r="AH44" s="7" t="n">
        <v>1345</v>
      </c>
      <c r="AI44" s="7" t="n">
        <v>705</v>
      </c>
      <c r="AJ44" s="8" t="n">
        <v>0.494</v>
      </c>
      <c r="AK44" s="7" t="n">
        <v>1045</v>
      </c>
      <c r="AL44" s="8" t="n">
        <v>0.732</v>
      </c>
      <c r="AM44" s="7" t="n">
        <v>1340</v>
      </c>
      <c r="AN44" s="8" t="n">
        <v>0.938</v>
      </c>
      <c r="AO44" s="7" t="n">
        <v>1400</v>
      </c>
      <c r="AP44" s="8" t="n">
        <v>0.98</v>
      </c>
      <c r="AQ44" s="7" t="n">
        <v>30</v>
      </c>
      <c r="AR44" s="8" t="n">
        <v>0.02</v>
      </c>
      <c r="AS44" s="7" t="n">
        <v>1430</v>
      </c>
      <c r="AT44" s="7" t="n">
        <v>540</v>
      </c>
      <c r="AU44" s="8" t="n">
        <v>0.463</v>
      </c>
      <c r="AV44" s="7" t="n">
        <v>895</v>
      </c>
      <c r="AW44" s="8" t="n">
        <v>0.765</v>
      </c>
      <c r="AX44" s="7" t="n">
        <v>1110</v>
      </c>
      <c r="AY44" s="8" t="n">
        <v>0.95</v>
      </c>
      <c r="AZ44" s="7" t="n">
        <v>1155</v>
      </c>
      <c r="BA44" s="8" t="n">
        <v>0.986</v>
      </c>
      <c r="BB44" s="7" t="n">
        <v>15</v>
      </c>
      <c r="BC44" s="8" t="n">
        <v>0.014</v>
      </c>
      <c r="BD44" s="7" t="n">
        <v>1170</v>
      </c>
      <c r="BE44" s="7" t="n">
        <v>355</v>
      </c>
      <c r="BF44" s="8" t="n">
        <v>0.318</v>
      </c>
      <c r="BG44" s="7" t="n">
        <v>720</v>
      </c>
      <c r="BH44" s="8" t="n">
        <v>0.647</v>
      </c>
      <c r="BI44" s="7" t="n">
        <v>945</v>
      </c>
      <c r="BJ44" s="8" t="n">
        <v>0.85</v>
      </c>
      <c r="BK44" s="7" t="n">
        <v>1060</v>
      </c>
      <c r="BL44" s="8" t="n">
        <v>0.955</v>
      </c>
      <c r="BM44" s="7" t="n">
        <v>50</v>
      </c>
      <c r="BN44" s="8" t="n">
        <v>0.045</v>
      </c>
      <c r="BO44" s="7" t="n">
        <v>1110</v>
      </c>
    </row>
    <row r="45" customFormat="false" ht="15" hidden="false" customHeight="false" outlineLevel="0" collapsed="false">
      <c r="A45" s="12" t="s">
        <v>161</v>
      </c>
      <c r="B45" s="7" t="n">
        <v>20</v>
      </c>
      <c r="C45" s="8" t="n">
        <v>0.413</v>
      </c>
      <c r="D45" s="7" t="n">
        <v>30</v>
      </c>
      <c r="E45" s="8" t="n">
        <v>0.652</v>
      </c>
      <c r="F45" s="7" t="n">
        <v>40</v>
      </c>
      <c r="G45" s="8" t="n">
        <v>0.87</v>
      </c>
      <c r="H45" s="7" t="n">
        <v>40</v>
      </c>
      <c r="I45" s="8" t="n">
        <v>0.891</v>
      </c>
      <c r="J45" s="7" t="n">
        <v>5</v>
      </c>
      <c r="K45" s="8" t="n">
        <v>0.109</v>
      </c>
      <c r="L45" s="7" t="n">
        <v>45</v>
      </c>
      <c r="M45" s="7" t="n">
        <v>15</v>
      </c>
      <c r="N45" s="8" t="n">
        <v>0.583</v>
      </c>
      <c r="O45" s="7" t="n">
        <v>20</v>
      </c>
      <c r="P45" s="8" t="n">
        <v>0.833</v>
      </c>
      <c r="Q45" s="7" t="n">
        <v>25</v>
      </c>
      <c r="R45" s="8" t="n">
        <v>1</v>
      </c>
      <c r="S45" s="7" t="n">
        <v>25</v>
      </c>
      <c r="T45" s="8" t="n">
        <v>1</v>
      </c>
      <c r="U45" s="7" t="n">
        <v>0</v>
      </c>
      <c r="V45" s="8" t="n">
        <v>0</v>
      </c>
      <c r="W45" s="7" t="n">
        <v>25</v>
      </c>
      <c r="X45" s="7" t="n">
        <v>5</v>
      </c>
      <c r="Y45" s="8" t="s">
        <v>33</v>
      </c>
      <c r="Z45" s="7" t="n">
        <v>15</v>
      </c>
      <c r="AA45" s="8" t="s">
        <v>33</v>
      </c>
      <c r="AB45" s="7" t="n">
        <v>20</v>
      </c>
      <c r="AC45" s="8" t="s">
        <v>33</v>
      </c>
      <c r="AD45" s="7" t="n">
        <v>20</v>
      </c>
      <c r="AE45" s="8" t="s">
        <v>33</v>
      </c>
      <c r="AF45" s="7" t="s">
        <v>33</v>
      </c>
      <c r="AG45" s="8" t="s">
        <v>33</v>
      </c>
      <c r="AH45" s="7" t="n">
        <v>20</v>
      </c>
      <c r="AI45" s="7" t="n">
        <v>10</v>
      </c>
      <c r="AJ45" s="8" t="n">
        <v>0.688</v>
      </c>
      <c r="AK45" s="7" t="n">
        <v>15</v>
      </c>
      <c r="AL45" s="8" t="n">
        <v>0.813</v>
      </c>
      <c r="AM45" s="7" t="n">
        <v>15</v>
      </c>
      <c r="AN45" s="8" t="n">
        <v>1</v>
      </c>
      <c r="AO45" s="7" t="n">
        <v>15</v>
      </c>
      <c r="AP45" s="8" t="n">
        <v>1</v>
      </c>
      <c r="AQ45" s="7" t="n">
        <v>0</v>
      </c>
      <c r="AR45" s="8" t="n">
        <v>0</v>
      </c>
      <c r="AS45" s="7" t="n">
        <v>15</v>
      </c>
      <c r="AT45" s="7" t="n">
        <v>5</v>
      </c>
      <c r="AU45" s="8" t="n">
        <v>0.75</v>
      </c>
      <c r="AV45" s="7" t="n">
        <v>10</v>
      </c>
      <c r="AW45" s="8" t="n">
        <v>1</v>
      </c>
      <c r="AX45" s="7" t="n">
        <v>10</v>
      </c>
      <c r="AY45" s="8" t="n">
        <v>1</v>
      </c>
      <c r="AZ45" s="7" t="n">
        <v>10</v>
      </c>
      <c r="BA45" s="8" t="n">
        <v>1</v>
      </c>
      <c r="BB45" s="7" t="n">
        <v>0</v>
      </c>
      <c r="BC45" s="8" t="n">
        <v>0</v>
      </c>
      <c r="BD45" s="7" t="n">
        <v>10</v>
      </c>
      <c r="BE45" s="7" t="s">
        <v>33</v>
      </c>
      <c r="BF45" s="8" t="s">
        <v>33</v>
      </c>
      <c r="BG45" s="7" t="s">
        <v>33</v>
      </c>
      <c r="BH45" s="8" t="s">
        <v>33</v>
      </c>
      <c r="BI45" s="7" t="n">
        <v>5</v>
      </c>
      <c r="BJ45" s="8" t="s">
        <v>33</v>
      </c>
      <c r="BK45" s="7" t="n">
        <v>5</v>
      </c>
      <c r="BL45" s="8" t="s">
        <v>33</v>
      </c>
      <c r="BM45" s="7" t="s">
        <v>33</v>
      </c>
      <c r="BN45" s="8" t="s">
        <v>33</v>
      </c>
      <c r="BO45" s="7" t="n">
        <v>5</v>
      </c>
    </row>
    <row r="46" customFormat="false" ht="15" hidden="false" customHeight="false" outlineLevel="0" collapsed="false">
      <c r="A46" s="1" t="s">
        <v>162</v>
      </c>
      <c r="B46" s="7" t="n">
        <v>70</v>
      </c>
      <c r="C46" s="8" t="n">
        <v>0.266</v>
      </c>
      <c r="D46" s="7" t="n">
        <v>115</v>
      </c>
      <c r="E46" s="8" t="n">
        <v>0.441</v>
      </c>
      <c r="F46" s="7" t="n">
        <v>150</v>
      </c>
      <c r="G46" s="8" t="n">
        <v>0.57</v>
      </c>
      <c r="H46" s="7" t="n">
        <v>185</v>
      </c>
      <c r="I46" s="8" t="n">
        <v>0.703</v>
      </c>
      <c r="J46" s="7" t="n">
        <v>80</v>
      </c>
      <c r="K46" s="8" t="n">
        <v>0.297</v>
      </c>
      <c r="L46" s="7" t="n">
        <v>265</v>
      </c>
      <c r="M46" s="7" t="n">
        <v>100</v>
      </c>
      <c r="N46" s="8" t="n">
        <v>0.391</v>
      </c>
      <c r="O46" s="7" t="n">
        <v>130</v>
      </c>
      <c r="P46" s="8" t="n">
        <v>0.514</v>
      </c>
      <c r="Q46" s="7" t="n">
        <v>160</v>
      </c>
      <c r="R46" s="8" t="n">
        <v>0.632</v>
      </c>
      <c r="S46" s="7" t="n">
        <v>180</v>
      </c>
      <c r="T46" s="8" t="n">
        <v>0.715</v>
      </c>
      <c r="U46" s="7" t="n">
        <v>70</v>
      </c>
      <c r="V46" s="8" t="n">
        <v>0.285</v>
      </c>
      <c r="W46" s="7" t="n">
        <v>255</v>
      </c>
      <c r="X46" s="7" t="n">
        <v>95</v>
      </c>
      <c r="Y46" s="8" t="n">
        <v>0.342</v>
      </c>
      <c r="Z46" s="7" t="n">
        <v>145</v>
      </c>
      <c r="AA46" s="8" t="n">
        <v>0.511</v>
      </c>
      <c r="AB46" s="7" t="n">
        <v>180</v>
      </c>
      <c r="AC46" s="8" t="n">
        <v>0.634</v>
      </c>
      <c r="AD46" s="7" t="n">
        <v>220</v>
      </c>
      <c r="AE46" s="8" t="n">
        <v>0.778</v>
      </c>
      <c r="AF46" s="7" t="n">
        <v>65</v>
      </c>
      <c r="AG46" s="8" t="n">
        <v>0.222</v>
      </c>
      <c r="AH46" s="7" t="n">
        <v>285</v>
      </c>
      <c r="AI46" s="7" t="n">
        <v>140</v>
      </c>
      <c r="AJ46" s="8" t="n">
        <v>0.459</v>
      </c>
      <c r="AK46" s="7" t="n">
        <v>190</v>
      </c>
      <c r="AL46" s="8" t="n">
        <v>0.623</v>
      </c>
      <c r="AM46" s="7" t="n">
        <v>245</v>
      </c>
      <c r="AN46" s="8" t="n">
        <v>0.81</v>
      </c>
      <c r="AO46" s="7" t="n">
        <v>275</v>
      </c>
      <c r="AP46" s="8" t="n">
        <v>0.902</v>
      </c>
      <c r="AQ46" s="7" t="n">
        <v>30</v>
      </c>
      <c r="AR46" s="8" t="n">
        <v>0.098</v>
      </c>
      <c r="AS46" s="7" t="n">
        <v>305</v>
      </c>
      <c r="AT46" s="7" t="n">
        <v>120</v>
      </c>
      <c r="AU46" s="8" t="n">
        <v>0.412</v>
      </c>
      <c r="AV46" s="7" t="n">
        <v>185</v>
      </c>
      <c r="AW46" s="8" t="n">
        <v>0.632</v>
      </c>
      <c r="AX46" s="7" t="n">
        <v>255</v>
      </c>
      <c r="AY46" s="8" t="n">
        <v>0.855</v>
      </c>
      <c r="AZ46" s="7" t="n">
        <v>285</v>
      </c>
      <c r="BA46" s="8" t="n">
        <v>0.963</v>
      </c>
      <c r="BB46" s="7" t="n">
        <v>10</v>
      </c>
      <c r="BC46" s="8" t="n">
        <v>0.037</v>
      </c>
      <c r="BD46" s="7" t="n">
        <v>295</v>
      </c>
      <c r="BE46" s="7" t="n">
        <v>75</v>
      </c>
      <c r="BF46" s="8" t="n">
        <v>0.268</v>
      </c>
      <c r="BG46" s="7" t="n">
        <v>120</v>
      </c>
      <c r="BH46" s="8" t="n">
        <v>0.449</v>
      </c>
      <c r="BI46" s="7" t="n">
        <v>165</v>
      </c>
      <c r="BJ46" s="8" t="n">
        <v>0.603</v>
      </c>
      <c r="BK46" s="7" t="n">
        <v>215</v>
      </c>
      <c r="BL46" s="8" t="n">
        <v>0.783</v>
      </c>
      <c r="BM46" s="7" t="n">
        <v>60</v>
      </c>
      <c r="BN46" s="8" t="n">
        <v>0.217</v>
      </c>
      <c r="BO46" s="7" t="n">
        <v>270</v>
      </c>
    </row>
    <row r="47" customFormat="false" ht="15" hidden="false" customHeight="false" outlineLevel="0" collapsed="false">
      <c r="A47" s="1" t="s">
        <v>43</v>
      </c>
      <c r="B47" s="7" t="n">
        <v>9675</v>
      </c>
      <c r="C47" s="8" t="n">
        <v>0.476</v>
      </c>
      <c r="D47" s="7" t="n">
        <v>15965</v>
      </c>
      <c r="E47" s="8" t="n">
        <v>0.785</v>
      </c>
      <c r="F47" s="7" t="n">
        <v>19305</v>
      </c>
      <c r="G47" s="8" t="n">
        <v>0.949</v>
      </c>
      <c r="H47" s="7" t="n">
        <v>20185</v>
      </c>
      <c r="I47" s="8" t="n">
        <v>0.992</v>
      </c>
      <c r="J47" s="7" t="n">
        <v>160</v>
      </c>
      <c r="K47" s="8" t="n">
        <v>0.008</v>
      </c>
      <c r="L47" s="7" t="n">
        <v>20350</v>
      </c>
      <c r="M47" s="7" t="n">
        <v>10880</v>
      </c>
      <c r="N47" s="8" t="n">
        <v>0.543</v>
      </c>
      <c r="O47" s="7" t="n">
        <v>16335</v>
      </c>
      <c r="P47" s="8" t="n">
        <v>0.816</v>
      </c>
      <c r="Q47" s="7" t="n">
        <v>19050</v>
      </c>
      <c r="R47" s="8" t="n">
        <v>0.952</v>
      </c>
      <c r="S47" s="7" t="n">
        <v>19855</v>
      </c>
      <c r="T47" s="8" t="n">
        <v>0.992</v>
      </c>
      <c r="U47" s="7" t="n">
        <v>170</v>
      </c>
      <c r="V47" s="8" t="n">
        <v>0.008</v>
      </c>
      <c r="W47" s="7" t="n">
        <v>20020</v>
      </c>
      <c r="X47" s="7" t="n">
        <v>10455</v>
      </c>
      <c r="Y47" s="8" t="n">
        <v>0.545</v>
      </c>
      <c r="Z47" s="7" t="n">
        <v>15930</v>
      </c>
      <c r="AA47" s="8" t="n">
        <v>0.831</v>
      </c>
      <c r="AB47" s="7" t="n">
        <v>18430</v>
      </c>
      <c r="AC47" s="8" t="n">
        <v>0.961</v>
      </c>
      <c r="AD47" s="7" t="n">
        <v>19045</v>
      </c>
      <c r="AE47" s="8" t="n">
        <v>0.993</v>
      </c>
      <c r="AF47" s="7" t="n">
        <v>135</v>
      </c>
      <c r="AG47" s="8" t="n">
        <v>0.007</v>
      </c>
      <c r="AH47" s="7" t="n">
        <v>19180</v>
      </c>
      <c r="AI47" s="7" t="n">
        <v>11465</v>
      </c>
      <c r="AJ47" s="8" t="n">
        <v>0.624</v>
      </c>
      <c r="AK47" s="7" t="n">
        <v>15560</v>
      </c>
      <c r="AL47" s="8" t="n">
        <v>0.847</v>
      </c>
      <c r="AM47" s="7" t="n">
        <v>17840</v>
      </c>
      <c r="AN47" s="8" t="n">
        <v>0.971</v>
      </c>
      <c r="AO47" s="7" t="n">
        <v>18270</v>
      </c>
      <c r="AP47" s="8" t="n">
        <v>0.995</v>
      </c>
      <c r="AQ47" s="7" t="n">
        <v>100</v>
      </c>
      <c r="AR47" s="8" t="n">
        <v>0.005</v>
      </c>
      <c r="AS47" s="7" t="n">
        <v>18365</v>
      </c>
      <c r="AT47" s="7" t="n">
        <v>10295</v>
      </c>
      <c r="AU47" s="8" t="n">
        <v>0.599</v>
      </c>
      <c r="AV47" s="7" t="n">
        <v>14705</v>
      </c>
      <c r="AW47" s="8" t="n">
        <v>0.855</v>
      </c>
      <c r="AX47" s="7" t="n">
        <v>16825</v>
      </c>
      <c r="AY47" s="8" t="n">
        <v>0.978</v>
      </c>
      <c r="AZ47" s="7" t="n">
        <v>17145</v>
      </c>
      <c r="BA47" s="8" t="n">
        <v>0.997</v>
      </c>
      <c r="BB47" s="7" t="n">
        <v>50</v>
      </c>
      <c r="BC47" s="8" t="n">
        <v>0.003</v>
      </c>
      <c r="BD47" s="7" t="n">
        <v>17195</v>
      </c>
      <c r="BE47" s="7" t="n">
        <v>7700</v>
      </c>
      <c r="BF47" s="8" t="n">
        <v>0.459</v>
      </c>
      <c r="BG47" s="7" t="n">
        <v>12910</v>
      </c>
      <c r="BH47" s="8" t="n">
        <v>0.77</v>
      </c>
      <c r="BI47" s="7" t="n">
        <v>15750</v>
      </c>
      <c r="BJ47" s="8" t="n">
        <v>0.939</v>
      </c>
      <c r="BK47" s="7" t="n">
        <v>16595</v>
      </c>
      <c r="BL47" s="8" t="n">
        <v>0.989</v>
      </c>
      <c r="BM47" s="7" t="n">
        <v>175</v>
      </c>
      <c r="BN47" s="8" t="n">
        <v>0.011</v>
      </c>
      <c r="BO47" s="7" t="n">
        <v>16770</v>
      </c>
    </row>
    <row r="48" customFormat="false" ht="15" hidden="false" customHeight="false" outlineLevel="0" collapsed="false">
      <c r="A48" s="1" t="s">
        <v>74</v>
      </c>
      <c r="B48" s="7" t="n">
        <v>4595</v>
      </c>
      <c r="C48" s="8" t="n">
        <v>0.344</v>
      </c>
      <c r="D48" s="7" t="n">
        <v>7455</v>
      </c>
      <c r="E48" s="8" t="n">
        <v>0.558</v>
      </c>
      <c r="F48" s="7" t="n">
        <v>9865</v>
      </c>
      <c r="G48" s="8" t="n">
        <v>0.739</v>
      </c>
      <c r="H48" s="7" t="n">
        <v>11705</v>
      </c>
      <c r="I48" s="8" t="n">
        <v>0.877</v>
      </c>
      <c r="J48" s="7" t="n">
        <v>1645</v>
      </c>
      <c r="K48" s="8" t="n">
        <v>0.123</v>
      </c>
      <c r="L48" s="7" t="n">
        <v>13355</v>
      </c>
      <c r="M48" s="7" t="n">
        <v>4595</v>
      </c>
      <c r="N48" s="8" t="n">
        <v>0.347</v>
      </c>
      <c r="O48" s="7" t="n">
        <v>7220</v>
      </c>
      <c r="P48" s="8" t="n">
        <v>0.545</v>
      </c>
      <c r="Q48" s="7" t="n">
        <v>9390</v>
      </c>
      <c r="R48" s="8" t="n">
        <v>0.709</v>
      </c>
      <c r="S48" s="7" t="n">
        <v>11435</v>
      </c>
      <c r="T48" s="8" t="n">
        <v>0.864</v>
      </c>
      <c r="U48" s="7" t="n">
        <v>1800</v>
      </c>
      <c r="V48" s="8" t="n">
        <v>0.136</v>
      </c>
      <c r="W48" s="7" t="n">
        <v>13235</v>
      </c>
      <c r="X48" s="7" t="n">
        <v>4610</v>
      </c>
      <c r="Y48" s="8" t="n">
        <v>0.349</v>
      </c>
      <c r="Z48" s="7" t="n">
        <v>7370</v>
      </c>
      <c r="AA48" s="8" t="n">
        <v>0.558</v>
      </c>
      <c r="AB48" s="7" t="n">
        <v>9775</v>
      </c>
      <c r="AC48" s="8" t="n">
        <v>0.74</v>
      </c>
      <c r="AD48" s="7" t="n">
        <v>11690</v>
      </c>
      <c r="AE48" s="8" t="n">
        <v>0.885</v>
      </c>
      <c r="AF48" s="7" t="n">
        <v>1520</v>
      </c>
      <c r="AG48" s="8" t="n">
        <v>0.115</v>
      </c>
      <c r="AH48" s="7" t="n">
        <v>13210</v>
      </c>
      <c r="AI48" s="7" t="n">
        <v>5635</v>
      </c>
      <c r="AJ48" s="8" t="n">
        <v>0.434</v>
      </c>
      <c r="AK48" s="7" t="n">
        <v>8210</v>
      </c>
      <c r="AL48" s="8" t="n">
        <v>0.633</v>
      </c>
      <c r="AM48" s="7" t="n">
        <v>10555</v>
      </c>
      <c r="AN48" s="8" t="n">
        <v>0.813</v>
      </c>
      <c r="AO48" s="7" t="n">
        <v>11960</v>
      </c>
      <c r="AP48" s="8" t="n">
        <v>0.922</v>
      </c>
      <c r="AQ48" s="7" t="n">
        <v>1015</v>
      </c>
      <c r="AR48" s="8" t="n">
        <v>0.078</v>
      </c>
      <c r="AS48" s="7" t="n">
        <v>12975</v>
      </c>
      <c r="AT48" s="7" t="n">
        <v>5505</v>
      </c>
      <c r="AU48" s="8" t="n">
        <v>0.403</v>
      </c>
      <c r="AV48" s="7" t="n">
        <v>8700</v>
      </c>
      <c r="AW48" s="8" t="n">
        <v>0.637</v>
      </c>
      <c r="AX48" s="7" t="n">
        <v>11740</v>
      </c>
      <c r="AY48" s="8" t="n">
        <v>0.86</v>
      </c>
      <c r="AZ48" s="7" t="n">
        <v>13000</v>
      </c>
      <c r="BA48" s="8" t="n">
        <v>0.952</v>
      </c>
      <c r="BB48" s="7" t="n">
        <v>655</v>
      </c>
      <c r="BC48" s="8" t="n">
        <v>0.048</v>
      </c>
      <c r="BD48" s="7" t="n">
        <v>13655</v>
      </c>
      <c r="BE48" s="7" t="n">
        <v>4385</v>
      </c>
      <c r="BF48" s="8" t="n">
        <v>0.318</v>
      </c>
      <c r="BG48" s="7" t="n">
        <v>7490</v>
      </c>
      <c r="BH48" s="8" t="n">
        <v>0.543</v>
      </c>
      <c r="BI48" s="7" t="n">
        <v>10290</v>
      </c>
      <c r="BJ48" s="8" t="n">
        <v>0.746</v>
      </c>
      <c r="BK48" s="7" t="n">
        <v>12310</v>
      </c>
      <c r="BL48" s="8" t="n">
        <v>0.893</v>
      </c>
      <c r="BM48" s="7" t="n">
        <v>1480</v>
      </c>
      <c r="BN48" s="8" t="n">
        <v>0.107</v>
      </c>
      <c r="BO48" s="7" t="n">
        <v>13790</v>
      </c>
    </row>
    <row r="49" customFormat="false" ht="15" hidden="false" customHeight="false" outlineLevel="0" collapsed="false">
      <c r="A49" s="1" t="s">
        <v>163</v>
      </c>
      <c r="B49" s="7" t="n">
        <v>185</v>
      </c>
      <c r="C49" s="8" t="n">
        <v>0.149</v>
      </c>
      <c r="D49" s="7" t="n">
        <v>540</v>
      </c>
      <c r="E49" s="8" t="n">
        <v>0.431</v>
      </c>
      <c r="F49" s="7" t="n">
        <v>870</v>
      </c>
      <c r="G49" s="8" t="n">
        <v>0.696</v>
      </c>
      <c r="H49" s="7" t="n">
        <v>1120</v>
      </c>
      <c r="I49" s="8" t="n">
        <v>0.894</v>
      </c>
      <c r="J49" s="7" t="n">
        <v>135</v>
      </c>
      <c r="K49" s="8" t="n">
        <v>0.106</v>
      </c>
      <c r="L49" s="7" t="n">
        <v>1255</v>
      </c>
      <c r="M49" s="7" t="n">
        <v>350</v>
      </c>
      <c r="N49" s="8" t="n">
        <v>0.273</v>
      </c>
      <c r="O49" s="7" t="n">
        <v>710</v>
      </c>
      <c r="P49" s="8" t="n">
        <v>0.553</v>
      </c>
      <c r="Q49" s="7" t="n">
        <v>995</v>
      </c>
      <c r="R49" s="8" t="n">
        <v>0.775</v>
      </c>
      <c r="S49" s="7" t="n">
        <v>1180</v>
      </c>
      <c r="T49" s="8" t="n">
        <v>0.921</v>
      </c>
      <c r="U49" s="7" t="n">
        <v>100</v>
      </c>
      <c r="V49" s="8" t="n">
        <v>0.079</v>
      </c>
      <c r="W49" s="7" t="n">
        <v>1285</v>
      </c>
      <c r="X49" s="7" t="n">
        <v>415</v>
      </c>
      <c r="Y49" s="8" t="n">
        <v>0.284</v>
      </c>
      <c r="Z49" s="7" t="n">
        <v>775</v>
      </c>
      <c r="AA49" s="8" t="n">
        <v>0.529</v>
      </c>
      <c r="AB49" s="7" t="n">
        <v>1125</v>
      </c>
      <c r="AC49" s="8" t="n">
        <v>0.767</v>
      </c>
      <c r="AD49" s="7" t="n">
        <v>1320</v>
      </c>
      <c r="AE49" s="8" t="n">
        <v>0.902</v>
      </c>
      <c r="AF49" s="7" t="n">
        <v>145</v>
      </c>
      <c r="AG49" s="8" t="n">
        <v>0.098</v>
      </c>
      <c r="AH49" s="7" t="n">
        <v>1465</v>
      </c>
      <c r="AI49" s="7" t="n">
        <v>500</v>
      </c>
      <c r="AJ49" s="8" t="n">
        <v>0.417</v>
      </c>
      <c r="AK49" s="7" t="n">
        <v>850</v>
      </c>
      <c r="AL49" s="8" t="n">
        <v>0.709</v>
      </c>
      <c r="AM49" s="7" t="n">
        <v>1110</v>
      </c>
      <c r="AN49" s="8" t="n">
        <v>0.925</v>
      </c>
      <c r="AO49" s="7" t="n">
        <v>1180</v>
      </c>
      <c r="AP49" s="8" t="n">
        <v>0.981</v>
      </c>
      <c r="AQ49" s="7" t="n">
        <v>25</v>
      </c>
      <c r="AR49" s="8" t="n">
        <v>0.019</v>
      </c>
      <c r="AS49" s="7" t="n">
        <v>1200</v>
      </c>
      <c r="AT49" s="7" t="n">
        <v>435</v>
      </c>
      <c r="AU49" s="8" t="n">
        <v>0.338</v>
      </c>
      <c r="AV49" s="7" t="n">
        <v>855</v>
      </c>
      <c r="AW49" s="8" t="n">
        <v>0.663</v>
      </c>
      <c r="AX49" s="7" t="n">
        <v>1195</v>
      </c>
      <c r="AY49" s="8" t="n">
        <v>0.929</v>
      </c>
      <c r="AZ49" s="7" t="n">
        <v>1260</v>
      </c>
      <c r="BA49" s="8" t="n">
        <v>0.977</v>
      </c>
      <c r="BB49" s="7" t="n">
        <v>30</v>
      </c>
      <c r="BC49" s="8" t="n">
        <v>0.023</v>
      </c>
      <c r="BD49" s="7" t="n">
        <v>1285</v>
      </c>
      <c r="BE49" s="7" t="n">
        <v>175</v>
      </c>
      <c r="BF49" s="8" t="n">
        <v>0.138</v>
      </c>
      <c r="BG49" s="7" t="n">
        <v>460</v>
      </c>
      <c r="BH49" s="8" t="n">
        <v>0.36</v>
      </c>
      <c r="BI49" s="7" t="n">
        <v>770</v>
      </c>
      <c r="BJ49" s="8" t="n">
        <v>0.603</v>
      </c>
      <c r="BK49" s="7" t="n">
        <v>1085</v>
      </c>
      <c r="BL49" s="8" t="n">
        <v>0.851</v>
      </c>
      <c r="BM49" s="7" t="n">
        <v>190</v>
      </c>
      <c r="BN49" s="8" t="n">
        <v>0.149</v>
      </c>
      <c r="BO49" s="7" t="n">
        <v>1275</v>
      </c>
    </row>
    <row r="50" customFormat="false" ht="15" hidden="false" customHeight="false" outlineLevel="0" collapsed="false">
      <c r="A50" s="1" t="s">
        <v>75</v>
      </c>
      <c r="B50" s="7" t="n">
        <v>2340</v>
      </c>
      <c r="C50" s="8" t="n">
        <v>0.29</v>
      </c>
      <c r="D50" s="7" t="n">
        <v>4780</v>
      </c>
      <c r="E50" s="8" t="n">
        <v>0.592</v>
      </c>
      <c r="F50" s="7" t="n">
        <v>6680</v>
      </c>
      <c r="G50" s="8" t="n">
        <v>0.828</v>
      </c>
      <c r="H50" s="7" t="n">
        <v>7565</v>
      </c>
      <c r="I50" s="8" t="n">
        <v>0.937</v>
      </c>
      <c r="J50" s="7" t="n">
        <v>505</v>
      </c>
      <c r="K50" s="8" t="n">
        <v>0.063</v>
      </c>
      <c r="L50" s="7" t="n">
        <v>8070</v>
      </c>
      <c r="M50" s="7" t="n">
        <v>2310</v>
      </c>
      <c r="N50" s="8" t="n">
        <v>0.309</v>
      </c>
      <c r="O50" s="7" t="n">
        <v>4790</v>
      </c>
      <c r="P50" s="8" t="n">
        <v>0.642</v>
      </c>
      <c r="Q50" s="7" t="n">
        <v>6450</v>
      </c>
      <c r="R50" s="8" t="n">
        <v>0.864</v>
      </c>
      <c r="S50" s="7" t="n">
        <v>7160</v>
      </c>
      <c r="T50" s="8" t="n">
        <v>0.96</v>
      </c>
      <c r="U50" s="7" t="n">
        <v>300</v>
      </c>
      <c r="V50" s="8" t="n">
        <v>0.04</v>
      </c>
      <c r="W50" s="7" t="n">
        <v>7460</v>
      </c>
      <c r="X50" s="7" t="n">
        <v>1810</v>
      </c>
      <c r="Y50" s="8" t="n">
        <v>0.263</v>
      </c>
      <c r="Z50" s="7" t="n">
        <v>4205</v>
      </c>
      <c r="AA50" s="8" t="n">
        <v>0.61</v>
      </c>
      <c r="AB50" s="7" t="n">
        <v>5880</v>
      </c>
      <c r="AC50" s="8" t="n">
        <v>0.854</v>
      </c>
      <c r="AD50" s="7" t="n">
        <v>6565</v>
      </c>
      <c r="AE50" s="8" t="n">
        <v>0.953</v>
      </c>
      <c r="AF50" s="7" t="n">
        <v>320</v>
      </c>
      <c r="AG50" s="8" t="n">
        <v>0.047</v>
      </c>
      <c r="AH50" s="7" t="n">
        <v>6885</v>
      </c>
      <c r="AI50" s="7" t="n">
        <v>2555</v>
      </c>
      <c r="AJ50" s="8" t="n">
        <v>0.405</v>
      </c>
      <c r="AK50" s="7" t="n">
        <v>4530</v>
      </c>
      <c r="AL50" s="8" t="n">
        <v>0.718</v>
      </c>
      <c r="AM50" s="7" t="n">
        <v>5840</v>
      </c>
      <c r="AN50" s="8" t="n">
        <v>0.926</v>
      </c>
      <c r="AO50" s="7" t="n">
        <v>6190</v>
      </c>
      <c r="AP50" s="8" t="n">
        <v>0.982</v>
      </c>
      <c r="AQ50" s="7" t="n">
        <v>110</v>
      </c>
      <c r="AR50" s="8" t="n">
        <v>0.018</v>
      </c>
      <c r="AS50" s="7" t="n">
        <v>6305</v>
      </c>
      <c r="AT50" s="7" t="n">
        <v>2055</v>
      </c>
      <c r="AU50" s="8" t="n">
        <v>0.365</v>
      </c>
      <c r="AV50" s="7" t="n">
        <v>3955</v>
      </c>
      <c r="AW50" s="8" t="n">
        <v>0.703</v>
      </c>
      <c r="AX50" s="7" t="n">
        <v>5345</v>
      </c>
      <c r="AY50" s="8" t="n">
        <v>0.95</v>
      </c>
      <c r="AZ50" s="7" t="n">
        <v>5575</v>
      </c>
      <c r="BA50" s="8" t="n">
        <v>0.991</v>
      </c>
      <c r="BB50" s="7" t="n">
        <v>55</v>
      </c>
      <c r="BC50" s="8" t="n">
        <v>0.009</v>
      </c>
      <c r="BD50" s="7" t="n">
        <v>5630</v>
      </c>
      <c r="BE50" s="7" t="n">
        <v>980</v>
      </c>
      <c r="BF50" s="8" t="n">
        <v>0.199</v>
      </c>
      <c r="BG50" s="7" t="n">
        <v>2705</v>
      </c>
      <c r="BH50" s="8" t="n">
        <v>0.548</v>
      </c>
      <c r="BI50" s="7" t="n">
        <v>4120</v>
      </c>
      <c r="BJ50" s="8" t="n">
        <v>0.834</v>
      </c>
      <c r="BK50" s="7" t="n">
        <v>4715</v>
      </c>
      <c r="BL50" s="8" t="n">
        <v>0.954</v>
      </c>
      <c r="BM50" s="7" t="n">
        <v>225</v>
      </c>
      <c r="BN50" s="8" t="n">
        <v>0.046</v>
      </c>
      <c r="BO50" s="7" t="n">
        <v>4940</v>
      </c>
    </row>
    <row r="51" customFormat="false" ht="15" hidden="false" customHeight="false" outlineLevel="0" collapsed="false">
      <c r="A51" s="1" t="s">
        <v>91</v>
      </c>
      <c r="B51" s="7" t="n">
        <v>255</v>
      </c>
      <c r="C51" s="8" t="n">
        <v>0.332</v>
      </c>
      <c r="D51" s="7" t="n">
        <v>435</v>
      </c>
      <c r="E51" s="8" t="n">
        <v>0.573</v>
      </c>
      <c r="F51" s="7" t="n">
        <v>570</v>
      </c>
      <c r="G51" s="8" t="n">
        <v>0.749</v>
      </c>
      <c r="H51" s="7" t="n">
        <v>660</v>
      </c>
      <c r="I51" s="8" t="n">
        <v>0.87</v>
      </c>
      <c r="J51" s="7" t="n">
        <v>100</v>
      </c>
      <c r="K51" s="8" t="n">
        <v>0.13</v>
      </c>
      <c r="L51" s="7" t="n">
        <v>760</v>
      </c>
      <c r="M51" s="7" t="n">
        <v>280</v>
      </c>
      <c r="N51" s="8" t="n">
        <v>0.41</v>
      </c>
      <c r="O51" s="7" t="n">
        <v>440</v>
      </c>
      <c r="P51" s="8" t="n">
        <v>0.644</v>
      </c>
      <c r="Q51" s="7" t="n">
        <v>590</v>
      </c>
      <c r="R51" s="8" t="n">
        <v>0.864</v>
      </c>
      <c r="S51" s="7" t="n">
        <v>640</v>
      </c>
      <c r="T51" s="8" t="n">
        <v>0.936</v>
      </c>
      <c r="U51" s="7" t="n">
        <v>45</v>
      </c>
      <c r="V51" s="8" t="n">
        <v>0.064</v>
      </c>
      <c r="W51" s="7" t="n">
        <v>685</v>
      </c>
      <c r="X51" s="7" t="n">
        <v>225</v>
      </c>
      <c r="Y51" s="8" t="n">
        <v>0.4</v>
      </c>
      <c r="Z51" s="7" t="n">
        <v>355</v>
      </c>
      <c r="AA51" s="8" t="n">
        <v>0.627</v>
      </c>
      <c r="AB51" s="7" t="n">
        <v>460</v>
      </c>
      <c r="AC51" s="8" t="n">
        <v>0.818</v>
      </c>
      <c r="AD51" s="7" t="n">
        <v>505</v>
      </c>
      <c r="AE51" s="8" t="n">
        <v>0.897</v>
      </c>
      <c r="AF51" s="7" t="n">
        <v>60</v>
      </c>
      <c r="AG51" s="8" t="n">
        <v>0.103</v>
      </c>
      <c r="AH51" s="7" t="n">
        <v>565</v>
      </c>
      <c r="AI51" s="7" t="n">
        <v>190</v>
      </c>
      <c r="AJ51" s="8" t="n">
        <v>0.357</v>
      </c>
      <c r="AK51" s="7" t="n">
        <v>300</v>
      </c>
      <c r="AL51" s="8" t="n">
        <v>0.571</v>
      </c>
      <c r="AM51" s="7" t="n">
        <v>455</v>
      </c>
      <c r="AN51" s="8" t="n">
        <v>0.861</v>
      </c>
      <c r="AO51" s="7" t="n">
        <v>490</v>
      </c>
      <c r="AP51" s="8" t="n">
        <v>0.932</v>
      </c>
      <c r="AQ51" s="7" t="n">
        <v>35</v>
      </c>
      <c r="AR51" s="8" t="n">
        <v>0.068</v>
      </c>
      <c r="AS51" s="7" t="n">
        <v>525</v>
      </c>
      <c r="AT51" s="7" t="n">
        <v>120</v>
      </c>
      <c r="AU51" s="8" t="n">
        <v>0.287</v>
      </c>
      <c r="AV51" s="7" t="n">
        <v>250</v>
      </c>
      <c r="AW51" s="8" t="n">
        <v>0.598</v>
      </c>
      <c r="AX51" s="7" t="n">
        <v>360</v>
      </c>
      <c r="AY51" s="8" t="n">
        <v>0.861</v>
      </c>
      <c r="AZ51" s="7" t="n">
        <v>400</v>
      </c>
      <c r="BA51" s="8" t="n">
        <v>0.955</v>
      </c>
      <c r="BB51" s="7" t="n">
        <v>20</v>
      </c>
      <c r="BC51" s="8" t="n">
        <v>0.045</v>
      </c>
      <c r="BD51" s="7" t="n">
        <v>420</v>
      </c>
      <c r="BE51" s="7" t="n">
        <v>80</v>
      </c>
      <c r="BF51" s="8" t="n">
        <v>0.392</v>
      </c>
      <c r="BG51" s="7" t="n">
        <v>135</v>
      </c>
      <c r="BH51" s="8" t="n">
        <v>0.646</v>
      </c>
      <c r="BI51" s="7" t="n">
        <v>180</v>
      </c>
      <c r="BJ51" s="8" t="n">
        <v>0.866</v>
      </c>
      <c r="BK51" s="7" t="n">
        <v>200</v>
      </c>
      <c r="BL51" s="8" t="n">
        <v>0.957</v>
      </c>
      <c r="BM51" s="7" t="n">
        <v>10</v>
      </c>
      <c r="BN51" s="8" t="n">
        <v>0.043</v>
      </c>
      <c r="BO51" s="7" t="n">
        <v>210</v>
      </c>
    </row>
    <row r="52" customFormat="false" ht="15" hidden="false" customHeight="false" outlineLevel="0" collapsed="false">
      <c r="A52" s="1" t="s">
        <v>92</v>
      </c>
      <c r="B52" s="7" t="n">
        <v>405</v>
      </c>
      <c r="C52" s="8" t="n">
        <v>0.229</v>
      </c>
      <c r="D52" s="7" t="n">
        <v>880</v>
      </c>
      <c r="E52" s="8" t="n">
        <v>0.495</v>
      </c>
      <c r="F52" s="7" t="n">
        <v>1310</v>
      </c>
      <c r="G52" s="8" t="n">
        <v>0.738</v>
      </c>
      <c r="H52" s="7" t="n">
        <v>1555</v>
      </c>
      <c r="I52" s="8" t="n">
        <v>0.875</v>
      </c>
      <c r="J52" s="7" t="n">
        <v>220</v>
      </c>
      <c r="K52" s="8" t="n">
        <v>0.125</v>
      </c>
      <c r="L52" s="7" t="n">
        <v>1775</v>
      </c>
      <c r="M52" s="7" t="n">
        <v>710</v>
      </c>
      <c r="N52" s="8" t="n">
        <v>0.416</v>
      </c>
      <c r="O52" s="7" t="n">
        <v>1100</v>
      </c>
      <c r="P52" s="8" t="n">
        <v>0.644</v>
      </c>
      <c r="Q52" s="7" t="n">
        <v>1415</v>
      </c>
      <c r="R52" s="8" t="n">
        <v>0.829</v>
      </c>
      <c r="S52" s="7" t="n">
        <v>1545</v>
      </c>
      <c r="T52" s="8" t="n">
        <v>0.905</v>
      </c>
      <c r="U52" s="7" t="n">
        <v>160</v>
      </c>
      <c r="V52" s="8" t="n">
        <v>0.095</v>
      </c>
      <c r="W52" s="7" t="n">
        <v>1710</v>
      </c>
      <c r="X52" s="7" t="n">
        <v>715</v>
      </c>
      <c r="Y52" s="8" t="n">
        <v>0.441</v>
      </c>
      <c r="Z52" s="7" t="n">
        <v>1130</v>
      </c>
      <c r="AA52" s="8" t="n">
        <v>0.697</v>
      </c>
      <c r="AB52" s="7" t="n">
        <v>1425</v>
      </c>
      <c r="AC52" s="8" t="n">
        <v>0.88</v>
      </c>
      <c r="AD52" s="7" t="n">
        <v>1520</v>
      </c>
      <c r="AE52" s="8" t="n">
        <v>0.939</v>
      </c>
      <c r="AF52" s="7" t="n">
        <v>100</v>
      </c>
      <c r="AG52" s="8" t="n">
        <v>0.061</v>
      </c>
      <c r="AH52" s="7" t="n">
        <v>1620</v>
      </c>
      <c r="AI52" s="7" t="n">
        <v>580</v>
      </c>
      <c r="AJ52" s="8" t="n">
        <v>0.374</v>
      </c>
      <c r="AK52" s="7" t="n">
        <v>1010</v>
      </c>
      <c r="AL52" s="8" t="n">
        <v>0.648</v>
      </c>
      <c r="AM52" s="7" t="n">
        <v>1355</v>
      </c>
      <c r="AN52" s="8" t="n">
        <v>0.87</v>
      </c>
      <c r="AO52" s="7" t="n">
        <v>1465</v>
      </c>
      <c r="AP52" s="8" t="n">
        <v>0.942</v>
      </c>
      <c r="AQ52" s="7" t="n">
        <v>90</v>
      </c>
      <c r="AR52" s="8" t="n">
        <v>0.058</v>
      </c>
      <c r="AS52" s="7" t="n">
        <v>1555</v>
      </c>
      <c r="AT52" s="7" t="n">
        <v>580</v>
      </c>
      <c r="AU52" s="8" t="n">
        <v>0.424</v>
      </c>
      <c r="AV52" s="7" t="n">
        <v>975</v>
      </c>
      <c r="AW52" s="8" t="n">
        <v>0.71</v>
      </c>
      <c r="AX52" s="7" t="n">
        <v>1290</v>
      </c>
      <c r="AY52" s="8" t="n">
        <v>0.942</v>
      </c>
      <c r="AZ52" s="7" t="n">
        <v>1350</v>
      </c>
      <c r="BA52" s="8" t="n">
        <v>0.984</v>
      </c>
      <c r="BB52" s="7" t="n">
        <v>20</v>
      </c>
      <c r="BC52" s="8" t="n">
        <v>0.016</v>
      </c>
      <c r="BD52" s="7" t="n">
        <v>1370</v>
      </c>
      <c r="BE52" s="7" t="n">
        <v>465</v>
      </c>
      <c r="BF52" s="8" t="n">
        <v>0.367</v>
      </c>
      <c r="BG52" s="7" t="n">
        <v>820</v>
      </c>
      <c r="BH52" s="8" t="n">
        <v>0.646</v>
      </c>
      <c r="BI52" s="7" t="n">
        <v>1045</v>
      </c>
      <c r="BJ52" s="8" t="n">
        <v>0.826</v>
      </c>
      <c r="BK52" s="7" t="n">
        <v>1165</v>
      </c>
      <c r="BL52" s="8" t="n">
        <v>0.918</v>
      </c>
      <c r="BM52" s="7" t="n">
        <v>105</v>
      </c>
      <c r="BN52" s="8" t="n">
        <v>0.082</v>
      </c>
      <c r="BO52" s="7" t="n">
        <v>1265</v>
      </c>
    </row>
    <row r="53" customFormat="false" ht="15" hidden="false" customHeight="false" outlineLevel="0" collapsed="false">
      <c r="A53" s="1" t="s">
        <v>93</v>
      </c>
      <c r="B53" s="7" t="n">
        <v>2610</v>
      </c>
      <c r="C53" s="8" t="n">
        <v>0.312</v>
      </c>
      <c r="D53" s="7" t="n">
        <v>5055</v>
      </c>
      <c r="E53" s="8" t="n">
        <v>0.604</v>
      </c>
      <c r="F53" s="7" t="n">
        <v>6850</v>
      </c>
      <c r="G53" s="8" t="n">
        <v>0.819</v>
      </c>
      <c r="H53" s="7" t="n">
        <v>7745</v>
      </c>
      <c r="I53" s="8" t="n">
        <v>0.926</v>
      </c>
      <c r="J53" s="7" t="n">
        <v>620</v>
      </c>
      <c r="K53" s="8" t="n">
        <v>0.074</v>
      </c>
      <c r="L53" s="7" t="n">
        <v>8365</v>
      </c>
      <c r="M53" s="7" t="n">
        <v>3925</v>
      </c>
      <c r="N53" s="8" t="n">
        <v>0.493</v>
      </c>
      <c r="O53" s="7" t="n">
        <v>5795</v>
      </c>
      <c r="P53" s="8" t="n">
        <v>0.729</v>
      </c>
      <c r="Q53" s="7" t="n">
        <v>7160</v>
      </c>
      <c r="R53" s="8" t="n">
        <v>0.9</v>
      </c>
      <c r="S53" s="7" t="n">
        <v>7615</v>
      </c>
      <c r="T53" s="8" t="n">
        <v>0.958</v>
      </c>
      <c r="U53" s="7" t="n">
        <v>335</v>
      </c>
      <c r="V53" s="8" t="n">
        <v>0.042</v>
      </c>
      <c r="W53" s="7" t="n">
        <v>7950</v>
      </c>
      <c r="X53" s="7" t="n">
        <v>3665</v>
      </c>
      <c r="Y53" s="8" t="n">
        <v>0.505</v>
      </c>
      <c r="Z53" s="7" t="n">
        <v>5375</v>
      </c>
      <c r="AA53" s="8" t="n">
        <v>0.741</v>
      </c>
      <c r="AB53" s="7" t="n">
        <v>6665</v>
      </c>
      <c r="AC53" s="8" t="n">
        <v>0.918</v>
      </c>
      <c r="AD53" s="7" t="n">
        <v>7025</v>
      </c>
      <c r="AE53" s="8" t="n">
        <v>0.968</v>
      </c>
      <c r="AF53" s="7" t="n">
        <v>235</v>
      </c>
      <c r="AG53" s="8" t="n">
        <v>0.032</v>
      </c>
      <c r="AH53" s="7" t="n">
        <v>7260</v>
      </c>
      <c r="AI53" s="7" t="n">
        <v>2870</v>
      </c>
      <c r="AJ53" s="8" t="n">
        <v>0.427</v>
      </c>
      <c r="AK53" s="7" t="n">
        <v>4695</v>
      </c>
      <c r="AL53" s="8" t="n">
        <v>0.7</v>
      </c>
      <c r="AM53" s="7" t="n">
        <v>6170</v>
      </c>
      <c r="AN53" s="8" t="n">
        <v>0.92</v>
      </c>
      <c r="AO53" s="7" t="n">
        <v>6545</v>
      </c>
      <c r="AP53" s="8" t="n">
        <v>0.976</v>
      </c>
      <c r="AQ53" s="7" t="n">
        <v>165</v>
      </c>
      <c r="AR53" s="8" t="n">
        <v>0.024</v>
      </c>
      <c r="AS53" s="7" t="n">
        <v>6710</v>
      </c>
      <c r="AT53" s="7" t="n">
        <v>2460</v>
      </c>
      <c r="AU53" s="8" t="n">
        <v>0.409</v>
      </c>
      <c r="AV53" s="7" t="n">
        <v>4310</v>
      </c>
      <c r="AW53" s="8" t="n">
        <v>0.718</v>
      </c>
      <c r="AX53" s="7" t="n">
        <v>5660</v>
      </c>
      <c r="AY53" s="8" t="n">
        <v>0.942</v>
      </c>
      <c r="AZ53" s="7" t="n">
        <v>5890</v>
      </c>
      <c r="BA53" s="8" t="n">
        <v>0.981</v>
      </c>
      <c r="BB53" s="7" t="n">
        <v>115</v>
      </c>
      <c r="BC53" s="8" t="n">
        <v>0.019</v>
      </c>
      <c r="BD53" s="7" t="n">
        <v>6005</v>
      </c>
      <c r="BE53" s="7" t="n">
        <v>1840</v>
      </c>
      <c r="BF53" s="8" t="n">
        <v>0.347</v>
      </c>
      <c r="BG53" s="7" t="n">
        <v>3450</v>
      </c>
      <c r="BH53" s="8" t="n">
        <v>0.651</v>
      </c>
      <c r="BI53" s="7" t="n">
        <v>4555</v>
      </c>
      <c r="BJ53" s="8" t="n">
        <v>0.86</v>
      </c>
      <c r="BK53" s="7" t="n">
        <v>5020</v>
      </c>
      <c r="BL53" s="8" t="n">
        <v>0.947</v>
      </c>
      <c r="BM53" s="7" t="n">
        <v>280</v>
      </c>
      <c r="BN53" s="8" t="n">
        <v>0.053</v>
      </c>
      <c r="BO53" s="7" t="n">
        <v>5300</v>
      </c>
    </row>
    <row r="54" customFormat="false" ht="15" hidden="false" customHeight="false" outlineLevel="0" collapsed="false">
      <c r="A54" s="1" t="s">
        <v>164</v>
      </c>
      <c r="B54" s="7" t="n">
        <v>450</v>
      </c>
      <c r="C54" s="8" t="n">
        <v>0.415</v>
      </c>
      <c r="D54" s="7" t="n">
        <v>665</v>
      </c>
      <c r="E54" s="8" t="n">
        <v>0.61</v>
      </c>
      <c r="F54" s="7" t="n">
        <v>820</v>
      </c>
      <c r="G54" s="8" t="n">
        <v>0.754</v>
      </c>
      <c r="H54" s="7" t="n">
        <v>940</v>
      </c>
      <c r="I54" s="8" t="n">
        <v>0.865</v>
      </c>
      <c r="J54" s="7" t="n">
        <v>145</v>
      </c>
      <c r="K54" s="8" t="n">
        <v>0.135</v>
      </c>
      <c r="L54" s="7" t="n">
        <v>1090</v>
      </c>
      <c r="M54" s="7" t="n">
        <v>405</v>
      </c>
      <c r="N54" s="8" t="n">
        <v>0.358</v>
      </c>
      <c r="O54" s="7" t="n">
        <v>600</v>
      </c>
      <c r="P54" s="8" t="n">
        <v>0.526</v>
      </c>
      <c r="Q54" s="7" t="n">
        <v>785</v>
      </c>
      <c r="R54" s="8" t="n">
        <v>0.693</v>
      </c>
      <c r="S54" s="7" t="n">
        <v>920</v>
      </c>
      <c r="T54" s="8" t="n">
        <v>0.808</v>
      </c>
      <c r="U54" s="7" t="n">
        <v>220</v>
      </c>
      <c r="V54" s="8" t="n">
        <v>0.192</v>
      </c>
      <c r="W54" s="7" t="n">
        <v>1135</v>
      </c>
      <c r="X54" s="7" t="n">
        <v>505</v>
      </c>
      <c r="Y54" s="8" t="n">
        <v>0.503</v>
      </c>
      <c r="Z54" s="7" t="n">
        <v>685</v>
      </c>
      <c r="AA54" s="8" t="n">
        <v>0.682</v>
      </c>
      <c r="AB54" s="7" t="n">
        <v>805</v>
      </c>
      <c r="AC54" s="8" t="n">
        <v>0.801</v>
      </c>
      <c r="AD54" s="7" t="n">
        <v>890</v>
      </c>
      <c r="AE54" s="8" t="n">
        <v>0.888</v>
      </c>
      <c r="AF54" s="7" t="n">
        <v>115</v>
      </c>
      <c r="AG54" s="8" t="n">
        <v>0.112</v>
      </c>
      <c r="AH54" s="7" t="n">
        <v>1005</v>
      </c>
      <c r="AI54" s="7" t="n">
        <v>490</v>
      </c>
      <c r="AJ54" s="8" t="n">
        <v>0.504</v>
      </c>
      <c r="AK54" s="7" t="n">
        <v>695</v>
      </c>
      <c r="AL54" s="8" t="n">
        <v>0.714</v>
      </c>
      <c r="AM54" s="7" t="n">
        <v>825</v>
      </c>
      <c r="AN54" s="8" t="n">
        <v>0.849</v>
      </c>
      <c r="AO54" s="7" t="n">
        <v>885</v>
      </c>
      <c r="AP54" s="8" t="n">
        <v>0.914</v>
      </c>
      <c r="AQ54" s="7" t="n">
        <v>85</v>
      </c>
      <c r="AR54" s="8" t="n">
        <v>0.086</v>
      </c>
      <c r="AS54" s="7" t="n">
        <v>970</v>
      </c>
      <c r="AT54" s="7" t="n">
        <v>370</v>
      </c>
      <c r="AU54" s="8" t="n">
        <v>0.416</v>
      </c>
      <c r="AV54" s="7" t="n">
        <v>605</v>
      </c>
      <c r="AW54" s="8" t="n">
        <v>0.678</v>
      </c>
      <c r="AX54" s="7" t="n">
        <v>790</v>
      </c>
      <c r="AY54" s="8" t="n">
        <v>0.888</v>
      </c>
      <c r="AZ54" s="7" t="n">
        <v>845</v>
      </c>
      <c r="BA54" s="8" t="n">
        <v>0.952</v>
      </c>
      <c r="BB54" s="7" t="n">
        <v>45</v>
      </c>
      <c r="BC54" s="8" t="n">
        <v>0.048</v>
      </c>
      <c r="BD54" s="7" t="n">
        <v>890</v>
      </c>
      <c r="BE54" s="7" t="n">
        <v>245</v>
      </c>
      <c r="BF54" s="8" t="n">
        <v>0.245</v>
      </c>
      <c r="BG54" s="7" t="n">
        <v>400</v>
      </c>
      <c r="BH54" s="8" t="n">
        <v>0.405</v>
      </c>
      <c r="BI54" s="7" t="n">
        <v>575</v>
      </c>
      <c r="BJ54" s="8" t="n">
        <v>0.58</v>
      </c>
      <c r="BK54" s="7" t="n">
        <v>735</v>
      </c>
      <c r="BL54" s="8" t="n">
        <v>0.742</v>
      </c>
      <c r="BM54" s="7" t="n">
        <v>255</v>
      </c>
      <c r="BN54" s="8" t="n">
        <v>0.258</v>
      </c>
      <c r="BO54" s="7" t="n">
        <v>990</v>
      </c>
    </row>
    <row r="55" customFormat="false" ht="15" hidden="false" customHeight="false" outlineLevel="0" collapsed="false">
      <c r="A55" s="1" t="s">
        <v>76</v>
      </c>
      <c r="B55" s="7" t="n">
        <v>1045</v>
      </c>
      <c r="C55" s="8" t="n">
        <v>0.419</v>
      </c>
      <c r="D55" s="7" t="n">
        <v>1450</v>
      </c>
      <c r="E55" s="8" t="n">
        <v>0.582</v>
      </c>
      <c r="F55" s="7" t="n">
        <v>1805</v>
      </c>
      <c r="G55" s="8" t="n">
        <v>0.724</v>
      </c>
      <c r="H55" s="7" t="n">
        <v>2080</v>
      </c>
      <c r="I55" s="8" t="n">
        <v>0.834</v>
      </c>
      <c r="J55" s="7" t="n">
        <v>415</v>
      </c>
      <c r="K55" s="8" t="n">
        <v>0.166</v>
      </c>
      <c r="L55" s="7" t="n">
        <v>2495</v>
      </c>
      <c r="M55" s="7" t="n">
        <v>1075</v>
      </c>
      <c r="N55" s="8" t="n">
        <v>0.449</v>
      </c>
      <c r="O55" s="7" t="n">
        <v>1460</v>
      </c>
      <c r="P55" s="8" t="n">
        <v>0.609</v>
      </c>
      <c r="Q55" s="7" t="n">
        <v>1830</v>
      </c>
      <c r="R55" s="8" t="n">
        <v>0.765</v>
      </c>
      <c r="S55" s="7" t="n">
        <v>2115</v>
      </c>
      <c r="T55" s="8" t="n">
        <v>0.882</v>
      </c>
      <c r="U55" s="7" t="n">
        <v>280</v>
      </c>
      <c r="V55" s="8" t="n">
        <v>0.118</v>
      </c>
      <c r="W55" s="7" t="n">
        <v>2395</v>
      </c>
      <c r="X55" s="7" t="n">
        <v>920</v>
      </c>
      <c r="Y55" s="8" t="n">
        <v>0.391</v>
      </c>
      <c r="Z55" s="7" t="n">
        <v>1380</v>
      </c>
      <c r="AA55" s="8" t="n">
        <v>0.587</v>
      </c>
      <c r="AB55" s="7" t="n">
        <v>1725</v>
      </c>
      <c r="AC55" s="8" t="n">
        <v>0.735</v>
      </c>
      <c r="AD55" s="7" t="n">
        <v>2055</v>
      </c>
      <c r="AE55" s="8" t="n">
        <v>0.875</v>
      </c>
      <c r="AF55" s="7" t="n">
        <v>295</v>
      </c>
      <c r="AG55" s="8" t="n">
        <v>0.125</v>
      </c>
      <c r="AH55" s="7" t="n">
        <v>2350</v>
      </c>
      <c r="AI55" s="7" t="n">
        <v>1250</v>
      </c>
      <c r="AJ55" s="8" t="n">
        <v>0.517</v>
      </c>
      <c r="AK55" s="7" t="n">
        <v>1670</v>
      </c>
      <c r="AL55" s="8" t="n">
        <v>0.692</v>
      </c>
      <c r="AM55" s="7" t="n">
        <v>2095</v>
      </c>
      <c r="AN55" s="8" t="n">
        <v>0.868</v>
      </c>
      <c r="AO55" s="7" t="n">
        <v>2295</v>
      </c>
      <c r="AP55" s="8" t="n">
        <v>0.95</v>
      </c>
      <c r="AQ55" s="7" t="n">
        <v>120</v>
      </c>
      <c r="AR55" s="8" t="n">
        <v>0.05</v>
      </c>
      <c r="AS55" s="7" t="n">
        <v>2415</v>
      </c>
      <c r="AT55" s="7" t="n">
        <v>975</v>
      </c>
      <c r="AU55" s="8" t="n">
        <v>0.42</v>
      </c>
      <c r="AV55" s="7" t="n">
        <v>1530</v>
      </c>
      <c r="AW55" s="8" t="n">
        <v>0.657</v>
      </c>
      <c r="AX55" s="7" t="n">
        <v>2100</v>
      </c>
      <c r="AY55" s="8" t="n">
        <v>0.902</v>
      </c>
      <c r="AZ55" s="7" t="n">
        <v>2265</v>
      </c>
      <c r="BA55" s="8" t="n">
        <v>0.973</v>
      </c>
      <c r="BB55" s="7" t="n">
        <v>60</v>
      </c>
      <c r="BC55" s="8" t="n">
        <v>0.027</v>
      </c>
      <c r="BD55" s="7" t="n">
        <v>2325</v>
      </c>
      <c r="BE55" s="7" t="n">
        <v>830</v>
      </c>
      <c r="BF55" s="8" t="n">
        <v>0.343</v>
      </c>
      <c r="BG55" s="7" t="n">
        <v>1245</v>
      </c>
      <c r="BH55" s="8" t="n">
        <v>0.514</v>
      </c>
      <c r="BI55" s="7" t="n">
        <v>1655</v>
      </c>
      <c r="BJ55" s="8" t="n">
        <v>0.684</v>
      </c>
      <c r="BK55" s="7" t="n">
        <v>1980</v>
      </c>
      <c r="BL55" s="8" t="n">
        <v>0.819</v>
      </c>
      <c r="BM55" s="7" t="n">
        <v>440</v>
      </c>
      <c r="BN55" s="8" t="n">
        <v>0.181</v>
      </c>
      <c r="BO55" s="7" t="n">
        <v>2420</v>
      </c>
    </row>
    <row r="56" customFormat="false" ht="15" hidden="false" customHeight="false" outlineLevel="0" collapsed="false">
      <c r="A56" s="1" t="s">
        <v>165</v>
      </c>
      <c r="B56" s="7" t="n">
        <v>80</v>
      </c>
      <c r="C56" s="8" t="n">
        <v>0.302</v>
      </c>
      <c r="D56" s="7" t="n">
        <v>125</v>
      </c>
      <c r="E56" s="8" t="n">
        <v>0.488</v>
      </c>
      <c r="F56" s="7" t="n">
        <v>160</v>
      </c>
      <c r="G56" s="8" t="n">
        <v>0.624</v>
      </c>
      <c r="H56" s="7" t="n">
        <v>195</v>
      </c>
      <c r="I56" s="8" t="n">
        <v>0.756</v>
      </c>
      <c r="J56" s="7" t="n">
        <v>65</v>
      </c>
      <c r="K56" s="8" t="n">
        <v>0.244</v>
      </c>
      <c r="L56" s="7" t="n">
        <v>260</v>
      </c>
      <c r="M56" s="7" t="n">
        <v>75</v>
      </c>
      <c r="N56" s="8" t="n">
        <v>0.323</v>
      </c>
      <c r="O56" s="7" t="n">
        <v>125</v>
      </c>
      <c r="P56" s="8" t="n">
        <v>0.528</v>
      </c>
      <c r="Q56" s="7" t="n">
        <v>160</v>
      </c>
      <c r="R56" s="8" t="n">
        <v>0.672</v>
      </c>
      <c r="S56" s="7" t="n">
        <v>180</v>
      </c>
      <c r="T56" s="8" t="n">
        <v>0.762</v>
      </c>
      <c r="U56" s="7" t="n">
        <v>55</v>
      </c>
      <c r="V56" s="8" t="n">
        <v>0.238</v>
      </c>
      <c r="W56" s="7" t="n">
        <v>235</v>
      </c>
      <c r="X56" s="7" t="n">
        <v>85</v>
      </c>
      <c r="Y56" s="8" t="n">
        <v>0.302</v>
      </c>
      <c r="Z56" s="7" t="n">
        <v>145</v>
      </c>
      <c r="AA56" s="8" t="n">
        <v>0.509</v>
      </c>
      <c r="AB56" s="7" t="n">
        <v>205</v>
      </c>
      <c r="AC56" s="8" t="n">
        <v>0.733</v>
      </c>
      <c r="AD56" s="7" t="n">
        <v>240</v>
      </c>
      <c r="AE56" s="8" t="n">
        <v>0.854</v>
      </c>
      <c r="AF56" s="7" t="n">
        <v>40</v>
      </c>
      <c r="AG56" s="8" t="n">
        <v>0.146</v>
      </c>
      <c r="AH56" s="7" t="n">
        <v>280</v>
      </c>
      <c r="AI56" s="7" t="n">
        <v>120</v>
      </c>
      <c r="AJ56" s="8" t="n">
        <v>0.45</v>
      </c>
      <c r="AK56" s="7" t="n">
        <v>180</v>
      </c>
      <c r="AL56" s="8" t="n">
        <v>0.668</v>
      </c>
      <c r="AM56" s="7" t="n">
        <v>230</v>
      </c>
      <c r="AN56" s="8" t="n">
        <v>0.845</v>
      </c>
      <c r="AO56" s="7" t="n">
        <v>255</v>
      </c>
      <c r="AP56" s="8" t="n">
        <v>0.948</v>
      </c>
      <c r="AQ56" s="7" t="n">
        <v>15</v>
      </c>
      <c r="AR56" s="8" t="n">
        <v>0.052</v>
      </c>
      <c r="AS56" s="7" t="n">
        <v>270</v>
      </c>
      <c r="AT56" s="7" t="n">
        <v>95</v>
      </c>
      <c r="AU56" s="8" t="n">
        <v>0.336</v>
      </c>
      <c r="AV56" s="7" t="n">
        <v>170</v>
      </c>
      <c r="AW56" s="8" t="n">
        <v>0.594</v>
      </c>
      <c r="AX56" s="7" t="n">
        <v>250</v>
      </c>
      <c r="AY56" s="8" t="n">
        <v>0.878</v>
      </c>
      <c r="AZ56" s="7" t="n">
        <v>270</v>
      </c>
      <c r="BA56" s="8" t="n">
        <v>0.941</v>
      </c>
      <c r="BB56" s="7" t="n">
        <v>15</v>
      </c>
      <c r="BC56" s="8" t="n">
        <v>0.059</v>
      </c>
      <c r="BD56" s="7" t="n">
        <v>285</v>
      </c>
      <c r="BE56" s="7" t="n">
        <v>75</v>
      </c>
      <c r="BF56" s="8" t="n">
        <v>0.29</v>
      </c>
      <c r="BG56" s="7" t="n">
        <v>125</v>
      </c>
      <c r="BH56" s="8" t="n">
        <v>0.479</v>
      </c>
      <c r="BI56" s="7" t="n">
        <v>180</v>
      </c>
      <c r="BJ56" s="8" t="n">
        <v>0.691</v>
      </c>
      <c r="BK56" s="7" t="n">
        <v>210</v>
      </c>
      <c r="BL56" s="8" t="n">
        <v>0.803</v>
      </c>
      <c r="BM56" s="7" t="n">
        <v>50</v>
      </c>
      <c r="BN56" s="8" t="n">
        <v>0.197</v>
      </c>
      <c r="BO56" s="7" t="n">
        <v>260</v>
      </c>
    </row>
    <row r="57" customFormat="false" ht="15" hidden="false" customHeight="false" outlineLevel="0" collapsed="false">
      <c r="A57" s="1" t="s">
        <v>47</v>
      </c>
      <c r="B57" s="7" t="n">
        <v>3785</v>
      </c>
      <c r="C57" s="8" t="n">
        <v>0.581</v>
      </c>
      <c r="D57" s="7" t="n">
        <v>4820</v>
      </c>
      <c r="E57" s="8" t="n">
        <v>0.739</v>
      </c>
      <c r="F57" s="7" t="n">
        <v>5605</v>
      </c>
      <c r="G57" s="8" t="n">
        <v>0.86</v>
      </c>
      <c r="H57" s="7" t="n">
        <v>6150</v>
      </c>
      <c r="I57" s="8" t="n">
        <v>0.943</v>
      </c>
      <c r="J57" s="7" t="n">
        <v>370</v>
      </c>
      <c r="K57" s="8" t="n">
        <v>0.057</v>
      </c>
      <c r="L57" s="7" t="n">
        <v>6520</v>
      </c>
      <c r="M57" s="7" t="n">
        <v>3215</v>
      </c>
      <c r="N57" s="8" t="n">
        <v>0.545</v>
      </c>
      <c r="O57" s="7" t="n">
        <v>4240</v>
      </c>
      <c r="P57" s="8" t="n">
        <v>0.719</v>
      </c>
      <c r="Q57" s="7" t="n">
        <v>5115</v>
      </c>
      <c r="R57" s="8" t="n">
        <v>0.867</v>
      </c>
      <c r="S57" s="7" t="n">
        <v>5605</v>
      </c>
      <c r="T57" s="8" t="n">
        <v>0.951</v>
      </c>
      <c r="U57" s="7" t="n">
        <v>290</v>
      </c>
      <c r="V57" s="8" t="n">
        <v>0.049</v>
      </c>
      <c r="W57" s="7" t="n">
        <v>5900</v>
      </c>
      <c r="X57" s="7" t="n">
        <v>3410</v>
      </c>
      <c r="Y57" s="8" t="n">
        <v>0.592</v>
      </c>
      <c r="Z57" s="7" t="n">
        <v>4425</v>
      </c>
      <c r="AA57" s="8" t="n">
        <v>0.768</v>
      </c>
      <c r="AB57" s="7" t="n">
        <v>5165</v>
      </c>
      <c r="AC57" s="8" t="n">
        <v>0.896</v>
      </c>
      <c r="AD57" s="7" t="n">
        <v>5570</v>
      </c>
      <c r="AE57" s="8" t="n">
        <v>0.966</v>
      </c>
      <c r="AF57" s="7" t="n">
        <v>195</v>
      </c>
      <c r="AG57" s="8" t="n">
        <v>0.034</v>
      </c>
      <c r="AH57" s="7" t="n">
        <v>5765</v>
      </c>
      <c r="AI57" s="7" t="n">
        <v>3200</v>
      </c>
      <c r="AJ57" s="8" t="n">
        <v>0.59</v>
      </c>
      <c r="AK57" s="7" t="n">
        <v>4180</v>
      </c>
      <c r="AL57" s="8" t="n">
        <v>0.771</v>
      </c>
      <c r="AM57" s="7" t="n">
        <v>4970</v>
      </c>
      <c r="AN57" s="8" t="n">
        <v>0.916</v>
      </c>
      <c r="AO57" s="7" t="n">
        <v>5295</v>
      </c>
      <c r="AP57" s="8" t="n">
        <v>0.976</v>
      </c>
      <c r="AQ57" s="7" t="n">
        <v>130</v>
      </c>
      <c r="AR57" s="8" t="n">
        <v>0.024</v>
      </c>
      <c r="AS57" s="7" t="n">
        <v>5425</v>
      </c>
      <c r="AT57" s="7" t="n">
        <v>3275</v>
      </c>
      <c r="AU57" s="8" t="n">
        <v>0.564</v>
      </c>
      <c r="AV57" s="7" t="n">
        <v>4540</v>
      </c>
      <c r="AW57" s="8" t="n">
        <v>0.781</v>
      </c>
      <c r="AX57" s="7" t="n">
        <v>5515</v>
      </c>
      <c r="AY57" s="8" t="n">
        <v>0.949</v>
      </c>
      <c r="AZ57" s="7" t="n">
        <v>5750</v>
      </c>
      <c r="BA57" s="8" t="n">
        <v>0.99</v>
      </c>
      <c r="BB57" s="7" t="n">
        <v>60</v>
      </c>
      <c r="BC57" s="8" t="n">
        <v>0.01</v>
      </c>
      <c r="BD57" s="7" t="n">
        <v>5815</v>
      </c>
      <c r="BE57" s="7" t="n">
        <v>2715</v>
      </c>
      <c r="BF57" s="8" t="n">
        <v>0.53</v>
      </c>
      <c r="BG57" s="7" t="n">
        <v>3760</v>
      </c>
      <c r="BH57" s="8" t="n">
        <v>0.734</v>
      </c>
      <c r="BI57" s="7" t="n">
        <v>4485</v>
      </c>
      <c r="BJ57" s="8" t="n">
        <v>0.876</v>
      </c>
      <c r="BK57" s="7" t="n">
        <v>4905</v>
      </c>
      <c r="BL57" s="8" t="n">
        <v>0.957</v>
      </c>
      <c r="BM57" s="7" t="n">
        <v>220</v>
      </c>
      <c r="BN57" s="8" t="n">
        <v>0.043</v>
      </c>
      <c r="BO57" s="7" t="n">
        <v>5120</v>
      </c>
    </row>
    <row r="58" customFormat="false" ht="15" hidden="false" customHeight="false" outlineLevel="0" collapsed="false">
      <c r="A58" s="1" t="s">
        <v>78</v>
      </c>
      <c r="B58" s="7" t="n">
        <v>60</v>
      </c>
      <c r="C58" s="8" t="s">
        <v>33</v>
      </c>
      <c r="D58" s="7" t="n">
        <v>80</v>
      </c>
      <c r="E58" s="8" t="s">
        <v>33</v>
      </c>
      <c r="F58" s="7" t="n">
        <v>90</v>
      </c>
      <c r="G58" s="8" t="s">
        <v>33</v>
      </c>
      <c r="H58" s="7" t="n">
        <v>95</v>
      </c>
      <c r="I58" s="8" t="s">
        <v>33</v>
      </c>
      <c r="J58" s="7" t="s">
        <v>33</v>
      </c>
      <c r="K58" s="8" t="s">
        <v>33</v>
      </c>
      <c r="L58" s="7" t="n">
        <v>100</v>
      </c>
      <c r="M58" s="7" t="n">
        <v>75</v>
      </c>
      <c r="N58" s="8" t="s">
        <v>33</v>
      </c>
      <c r="O58" s="7" t="n">
        <v>80</v>
      </c>
      <c r="P58" s="8" t="s">
        <v>33</v>
      </c>
      <c r="Q58" s="7" t="n">
        <v>90</v>
      </c>
      <c r="R58" s="8" t="s">
        <v>33</v>
      </c>
      <c r="S58" s="7" t="n">
        <v>95</v>
      </c>
      <c r="T58" s="8" t="s">
        <v>33</v>
      </c>
      <c r="U58" s="7" t="s">
        <v>33</v>
      </c>
      <c r="V58" s="8" t="s">
        <v>33</v>
      </c>
      <c r="W58" s="7" t="n">
        <v>95</v>
      </c>
      <c r="X58" s="7" t="n">
        <v>55</v>
      </c>
      <c r="Y58" s="8" t="s">
        <v>33</v>
      </c>
      <c r="Z58" s="7" t="n">
        <v>65</v>
      </c>
      <c r="AA58" s="8" t="s">
        <v>33</v>
      </c>
      <c r="AB58" s="7" t="n">
        <v>65</v>
      </c>
      <c r="AC58" s="8" t="s">
        <v>33</v>
      </c>
      <c r="AD58" s="7" t="n">
        <v>65</v>
      </c>
      <c r="AE58" s="8" t="s">
        <v>33</v>
      </c>
      <c r="AF58" s="7" t="s">
        <v>33</v>
      </c>
      <c r="AG58" s="8" t="s">
        <v>33</v>
      </c>
      <c r="AH58" s="7" t="n">
        <v>70</v>
      </c>
      <c r="AI58" s="7" t="n">
        <v>50</v>
      </c>
      <c r="AJ58" s="8" t="n">
        <v>0.788</v>
      </c>
      <c r="AK58" s="7" t="n">
        <v>65</v>
      </c>
      <c r="AL58" s="8" t="n">
        <v>0.97</v>
      </c>
      <c r="AM58" s="7" t="n">
        <v>65</v>
      </c>
      <c r="AN58" s="8" t="n">
        <v>1</v>
      </c>
      <c r="AO58" s="7" t="n">
        <v>65</v>
      </c>
      <c r="AP58" s="8" t="n">
        <v>1</v>
      </c>
      <c r="AQ58" s="7" t="n">
        <v>0</v>
      </c>
      <c r="AR58" s="8" t="n">
        <v>0</v>
      </c>
      <c r="AS58" s="7" t="n">
        <v>65</v>
      </c>
      <c r="AT58" s="7" t="n">
        <v>80</v>
      </c>
      <c r="AU58" s="8" t="n">
        <v>0.897</v>
      </c>
      <c r="AV58" s="7" t="n">
        <v>85</v>
      </c>
      <c r="AW58" s="8" t="n">
        <v>0.977</v>
      </c>
      <c r="AX58" s="7" t="n">
        <v>85</v>
      </c>
      <c r="AY58" s="8" t="n">
        <v>1</v>
      </c>
      <c r="AZ58" s="7" t="n">
        <v>85</v>
      </c>
      <c r="BA58" s="8" t="n">
        <v>1</v>
      </c>
      <c r="BB58" s="7" t="n">
        <v>0</v>
      </c>
      <c r="BC58" s="8" t="n">
        <v>0</v>
      </c>
      <c r="BD58" s="7" t="n">
        <v>85</v>
      </c>
      <c r="BE58" s="7" t="n">
        <v>65</v>
      </c>
      <c r="BF58" s="8" t="n">
        <v>0.865</v>
      </c>
      <c r="BG58" s="7" t="n">
        <v>70</v>
      </c>
      <c r="BH58" s="8" t="n">
        <v>0.973</v>
      </c>
      <c r="BI58" s="7" t="n">
        <v>75</v>
      </c>
      <c r="BJ58" s="8" t="n">
        <v>0.986</v>
      </c>
      <c r="BK58" s="7" t="n">
        <v>75</v>
      </c>
      <c r="BL58" s="8" t="n">
        <v>1</v>
      </c>
      <c r="BM58" s="7" t="n">
        <v>0</v>
      </c>
      <c r="BN58" s="8" t="n">
        <v>0</v>
      </c>
      <c r="BO58" s="7" t="n">
        <v>75</v>
      </c>
    </row>
    <row r="59" customFormat="false" ht="15" hidden="false" customHeight="false" outlineLevel="0" collapsed="false">
      <c r="A59" s="9" t="s">
        <v>48</v>
      </c>
      <c r="B59" s="10" t="n">
        <v>124505</v>
      </c>
      <c r="C59" s="11" t="n">
        <v>0.38</v>
      </c>
      <c r="D59" s="10" t="n">
        <v>195950</v>
      </c>
      <c r="E59" s="11" t="n">
        <v>0.597</v>
      </c>
      <c r="F59" s="10" t="n">
        <v>253305</v>
      </c>
      <c r="G59" s="11" t="n">
        <v>0.772</v>
      </c>
      <c r="H59" s="10" t="n">
        <v>292050</v>
      </c>
      <c r="I59" s="11" t="n">
        <v>0.891</v>
      </c>
      <c r="J59" s="10" t="n">
        <v>35905</v>
      </c>
      <c r="K59" s="11" t="n">
        <v>0.109</v>
      </c>
      <c r="L59" s="10" t="n">
        <v>327950</v>
      </c>
      <c r="M59" s="10" t="n">
        <v>124130</v>
      </c>
      <c r="N59" s="11" t="n">
        <v>0.386</v>
      </c>
      <c r="O59" s="10" t="n">
        <v>195930</v>
      </c>
      <c r="P59" s="11" t="n">
        <v>0.61</v>
      </c>
      <c r="Q59" s="10" t="n">
        <v>253075</v>
      </c>
      <c r="R59" s="11" t="n">
        <v>0.788</v>
      </c>
      <c r="S59" s="10" t="n">
        <v>290775</v>
      </c>
      <c r="T59" s="11" t="n">
        <v>0.905</v>
      </c>
      <c r="U59" s="10" t="n">
        <v>30585</v>
      </c>
      <c r="V59" s="11" t="n">
        <v>0.095</v>
      </c>
      <c r="W59" s="10" t="n">
        <v>321360</v>
      </c>
      <c r="X59" s="10" t="n">
        <v>125100</v>
      </c>
      <c r="Y59" s="11" t="n">
        <v>0.403</v>
      </c>
      <c r="Z59" s="10" t="n">
        <v>196330</v>
      </c>
      <c r="AA59" s="11" t="n">
        <v>0.633</v>
      </c>
      <c r="AB59" s="10" t="n">
        <v>250730</v>
      </c>
      <c r="AC59" s="11" t="n">
        <v>0.808</v>
      </c>
      <c r="AD59" s="10" t="n">
        <v>285550</v>
      </c>
      <c r="AE59" s="11" t="n">
        <v>0.921</v>
      </c>
      <c r="AF59" s="10" t="n">
        <v>24615</v>
      </c>
      <c r="AG59" s="11" t="n">
        <v>0.079</v>
      </c>
      <c r="AH59" s="10" t="n">
        <v>310170</v>
      </c>
      <c r="AI59" s="10" t="n">
        <v>139135</v>
      </c>
      <c r="AJ59" s="11" t="n">
        <v>0.467</v>
      </c>
      <c r="AK59" s="10" t="n">
        <v>200835</v>
      </c>
      <c r="AL59" s="11" t="n">
        <v>0.674</v>
      </c>
      <c r="AM59" s="10" t="n">
        <v>255515</v>
      </c>
      <c r="AN59" s="11" t="n">
        <v>0.858</v>
      </c>
      <c r="AO59" s="10" t="n">
        <v>280205</v>
      </c>
      <c r="AP59" s="11" t="n">
        <v>0.94</v>
      </c>
      <c r="AQ59" s="10" t="n">
        <v>17770</v>
      </c>
      <c r="AR59" s="11" t="n">
        <v>0.06</v>
      </c>
      <c r="AS59" s="10" t="n">
        <v>297975</v>
      </c>
      <c r="AT59" s="10" t="n">
        <v>127300</v>
      </c>
      <c r="AU59" s="11" t="n">
        <v>0.423</v>
      </c>
      <c r="AV59" s="10" t="n">
        <v>201360</v>
      </c>
      <c r="AW59" s="11" t="n">
        <v>0.67</v>
      </c>
      <c r="AX59" s="10" t="n">
        <v>267560</v>
      </c>
      <c r="AY59" s="11" t="n">
        <v>0.89</v>
      </c>
      <c r="AZ59" s="10" t="n">
        <v>288940</v>
      </c>
      <c r="BA59" s="11" t="n">
        <v>0.961</v>
      </c>
      <c r="BB59" s="10" t="n">
        <v>11700</v>
      </c>
      <c r="BC59" s="11" t="n">
        <v>0.039</v>
      </c>
      <c r="BD59" s="10" t="n">
        <v>300640</v>
      </c>
      <c r="BE59" s="10" t="n">
        <v>101275</v>
      </c>
      <c r="BF59" s="11" t="n">
        <v>0.351</v>
      </c>
      <c r="BG59" s="10" t="n">
        <v>170060</v>
      </c>
      <c r="BH59" s="11" t="n">
        <v>0.589</v>
      </c>
      <c r="BI59" s="10" t="n">
        <v>225595</v>
      </c>
      <c r="BJ59" s="11" t="n">
        <v>0.782</v>
      </c>
      <c r="BK59" s="10" t="n">
        <v>261765</v>
      </c>
      <c r="BL59" s="11" t="n">
        <v>0.907</v>
      </c>
      <c r="BM59" s="10" t="n">
        <v>26785</v>
      </c>
      <c r="BN59" s="11" t="n">
        <v>0.093</v>
      </c>
      <c r="BO59" s="10" t="n">
        <v>288550</v>
      </c>
    </row>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O1048576"/>
  <sheetViews>
    <sheetView showFormulas="false" showGridLines="true" showRowColHeaders="true" showZeros="true" rightToLeft="false" tabSelected="false" showOutlineSymbols="true" defaultGridColor="true" view="normal" topLeftCell="A25" colorId="64" zoomScale="100" zoomScaleNormal="100" zoomScalePageLayoutView="100" workbookViewId="0">
      <selection pane="topLeft" activeCell="A46" activeCellId="1" sqref="A45 A46"/>
    </sheetView>
  </sheetViews>
  <sheetFormatPr defaultColWidth="11.078125" defaultRowHeight="15" zeroHeight="false" outlineLevelRow="0" outlineLevelCol="0"/>
  <cols>
    <col collapsed="false" customWidth="true" hidden="false" outlineLevel="0" max="1" min="1" style="1" width="43.69"/>
    <col collapsed="false" customWidth="true" hidden="false" outlineLevel="0" max="2" min="2" style="12" width="18.69"/>
    <col collapsed="false" customWidth="true" hidden="false" outlineLevel="0" max="3" min="3" style="12" width="23.07"/>
    <col collapsed="false" customWidth="true" hidden="false" outlineLevel="0" max="4" min="4" style="12" width="20.52"/>
    <col collapsed="false" customWidth="true" hidden="false" outlineLevel="0" max="5" min="5" style="12" width="25.08"/>
    <col collapsed="false" customWidth="true" hidden="false" outlineLevel="0" max="6" min="6" style="12" width="20.52"/>
    <col collapsed="false" customWidth="true" hidden="false" outlineLevel="0" max="7" min="7" style="12" width="25.08"/>
    <col collapsed="false" customWidth="true" hidden="false" outlineLevel="0" max="8" min="8" style="12" width="20.52"/>
    <col collapsed="false" customWidth="true" hidden="false" outlineLevel="0" max="9" min="9" style="12" width="25.08"/>
    <col collapsed="false" customWidth="true" hidden="false" outlineLevel="0" max="10" min="10" style="12" width="20.08"/>
    <col collapsed="false" customWidth="true" hidden="false" outlineLevel="0" max="11" min="11" style="12" width="24.69"/>
    <col collapsed="false" customWidth="true" hidden="false" outlineLevel="0" max="12" min="12" style="12" width="11.69"/>
    <col collapsed="false" customWidth="true" hidden="false" outlineLevel="0" max="13" min="13" style="12" width="18.69"/>
    <col collapsed="false" customWidth="true" hidden="false" outlineLevel="0" max="14" min="14" style="12" width="23.07"/>
    <col collapsed="false" customWidth="true" hidden="false" outlineLevel="0" max="15" min="15" style="12" width="20.52"/>
    <col collapsed="false" customWidth="true" hidden="false" outlineLevel="0" max="16" min="16" style="12" width="25.08"/>
    <col collapsed="false" customWidth="true" hidden="false" outlineLevel="0" max="17" min="17" style="12" width="20.52"/>
    <col collapsed="false" customWidth="true" hidden="false" outlineLevel="0" max="18" min="18" style="12" width="25.08"/>
    <col collapsed="false" customWidth="true" hidden="false" outlineLevel="0" max="19" min="19" style="12" width="20.52"/>
    <col collapsed="false" customWidth="true" hidden="false" outlineLevel="0" max="20" min="20" style="12" width="25.08"/>
    <col collapsed="false" customWidth="true" hidden="false" outlineLevel="0" max="21" min="21" style="12" width="20.08"/>
    <col collapsed="false" customWidth="true" hidden="false" outlineLevel="0" max="22" min="22" style="12" width="24.69"/>
    <col collapsed="false" customWidth="true" hidden="false" outlineLevel="0" max="23" min="23" style="12" width="11.69"/>
    <col collapsed="false" customWidth="true" hidden="false" outlineLevel="0" max="24" min="24" style="12" width="18.69"/>
    <col collapsed="false" customWidth="true" hidden="false" outlineLevel="0" max="25" min="25" style="12" width="23.07"/>
    <col collapsed="false" customWidth="true" hidden="false" outlineLevel="0" max="26" min="26" style="12" width="20.52"/>
    <col collapsed="false" customWidth="true" hidden="false" outlineLevel="0" max="27" min="27" style="12" width="25.08"/>
    <col collapsed="false" customWidth="true" hidden="false" outlineLevel="0" max="28" min="28" style="12" width="20.52"/>
    <col collapsed="false" customWidth="true" hidden="false" outlineLevel="0" max="29" min="29" style="12" width="25.08"/>
    <col collapsed="false" customWidth="true" hidden="false" outlineLevel="0" max="30" min="30" style="12" width="20.52"/>
    <col collapsed="false" customWidth="true" hidden="false" outlineLevel="0" max="31" min="31" style="12" width="25.08"/>
    <col collapsed="false" customWidth="true" hidden="false" outlineLevel="0" max="32" min="32" style="12" width="20.08"/>
    <col collapsed="false" customWidth="true" hidden="false" outlineLevel="0" max="33" min="33" style="12" width="24.69"/>
    <col collapsed="false" customWidth="true" hidden="false" outlineLevel="0" max="34" min="34" style="12" width="11.69"/>
    <col collapsed="false" customWidth="true" hidden="false" outlineLevel="0" max="35" min="35" style="12" width="18.69"/>
    <col collapsed="false" customWidth="true" hidden="false" outlineLevel="0" max="36" min="36" style="12" width="23.07"/>
    <col collapsed="false" customWidth="true" hidden="false" outlineLevel="0" max="37" min="37" style="12" width="20.52"/>
    <col collapsed="false" customWidth="true" hidden="false" outlineLevel="0" max="38" min="38" style="12" width="25.08"/>
    <col collapsed="false" customWidth="true" hidden="false" outlineLevel="0" max="39" min="39" style="12" width="20.52"/>
    <col collapsed="false" customWidth="true" hidden="false" outlineLevel="0" max="40" min="40" style="12" width="25.08"/>
    <col collapsed="false" customWidth="true" hidden="false" outlineLevel="0" max="41" min="41" style="12" width="20.52"/>
    <col collapsed="false" customWidth="true" hidden="false" outlineLevel="0" max="42" min="42" style="12" width="25.08"/>
    <col collapsed="false" customWidth="true" hidden="false" outlineLevel="0" max="43" min="43" style="12" width="20.08"/>
    <col collapsed="false" customWidth="true" hidden="false" outlineLevel="0" max="44" min="44" style="12" width="24.69"/>
    <col collapsed="false" customWidth="true" hidden="false" outlineLevel="0" max="45" min="45" style="12" width="11.69"/>
    <col collapsed="false" customWidth="true" hidden="false" outlineLevel="0" max="46" min="46" style="12" width="18.69"/>
    <col collapsed="false" customWidth="true" hidden="false" outlineLevel="0" max="47" min="47" style="12" width="23.07"/>
    <col collapsed="false" customWidth="true" hidden="false" outlineLevel="0" max="48" min="48" style="12" width="20.52"/>
    <col collapsed="false" customWidth="true" hidden="false" outlineLevel="0" max="49" min="49" style="12" width="25.08"/>
    <col collapsed="false" customWidth="true" hidden="false" outlineLevel="0" max="50" min="50" style="12" width="20.52"/>
    <col collapsed="false" customWidth="true" hidden="false" outlineLevel="0" max="51" min="51" style="12" width="25.08"/>
    <col collapsed="false" customWidth="true" hidden="false" outlineLevel="0" max="52" min="52" style="12" width="20.52"/>
    <col collapsed="false" customWidth="true" hidden="false" outlineLevel="0" max="53" min="53" style="12" width="25.08"/>
    <col collapsed="false" customWidth="true" hidden="false" outlineLevel="0" max="54" min="54" style="12" width="20.08"/>
    <col collapsed="false" customWidth="true" hidden="false" outlineLevel="0" max="55" min="55" style="12" width="24.69"/>
    <col collapsed="false" customWidth="true" hidden="false" outlineLevel="0" max="56" min="56" style="12" width="11.69"/>
    <col collapsed="false" customWidth="true" hidden="false" outlineLevel="0" max="57" min="57" style="12" width="18.69"/>
    <col collapsed="false" customWidth="true" hidden="false" outlineLevel="0" max="58" min="58" style="12" width="23.07"/>
    <col collapsed="false" customWidth="true" hidden="false" outlineLevel="0" max="59" min="59" style="12" width="20.52"/>
    <col collapsed="false" customWidth="true" hidden="false" outlineLevel="0" max="60" min="60" style="12" width="25.08"/>
    <col collapsed="false" customWidth="true" hidden="false" outlineLevel="0" max="61" min="61" style="12" width="20.52"/>
    <col collapsed="false" customWidth="true" hidden="false" outlineLevel="0" max="62" min="62" style="12" width="25.08"/>
    <col collapsed="false" customWidth="true" hidden="false" outlineLevel="0" max="63" min="63" style="12" width="20.52"/>
    <col collapsed="false" customWidth="true" hidden="false" outlineLevel="0" max="64" min="64" style="12" width="25.08"/>
    <col collapsed="false" customWidth="true" hidden="false" outlineLevel="0" max="65" min="65" style="12" width="20.08"/>
    <col collapsed="false" customWidth="true" hidden="false" outlineLevel="0" max="66" min="66" style="12" width="24.69"/>
    <col collapsed="false" customWidth="true" hidden="false" outlineLevel="0" max="67" min="67" style="12" width="11.69"/>
  </cols>
  <sheetData>
    <row r="1" customFormat="false" ht="30" hidden="false" customHeight="true" outlineLevel="0" collapsed="false">
      <c r="A1" s="2" t="s">
        <v>166</v>
      </c>
    </row>
    <row r="2" customFormat="false" ht="15" hidden="false" customHeight="false" outlineLevel="0" collapsed="false">
      <c r="A2" s="1" t="s">
        <v>8</v>
      </c>
    </row>
    <row r="3" customFormat="false" ht="15" hidden="false" customHeight="false" outlineLevel="0" collapsed="false">
      <c r="A3" s="6" t="s">
        <v>9</v>
      </c>
      <c r="B3" s="6" t="s">
        <v>95</v>
      </c>
      <c r="C3" s="6" t="s">
        <v>96</v>
      </c>
      <c r="D3" s="6" t="s">
        <v>97</v>
      </c>
      <c r="E3" s="6" t="s">
        <v>98</v>
      </c>
      <c r="F3" s="6" t="s">
        <v>99</v>
      </c>
      <c r="G3" s="6" t="s">
        <v>100</v>
      </c>
      <c r="H3" s="6" t="s">
        <v>101</v>
      </c>
      <c r="I3" s="6" t="s">
        <v>102</v>
      </c>
      <c r="J3" s="6" t="s">
        <v>103</v>
      </c>
      <c r="K3" s="6" t="s">
        <v>104</v>
      </c>
      <c r="L3" s="6" t="s">
        <v>12</v>
      </c>
      <c r="M3" s="6" t="s">
        <v>105</v>
      </c>
      <c r="N3" s="6" t="s">
        <v>106</v>
      </c>
      <c r="O3" s="6" t="s">
        <v>107</v>
      </c>
      <c r="P3" s="6" t="s">
        <v>108</v>
      </c>
      <c r="Q3" s="6" t="s">
        <v>109</v>
      </c>
      <c r="R3" s="6" t="s">
        <v>110</v>
      </c>
      <c r="S3" s="6" t="s">
        <v>111</v>
      </c>
      <c r="T3" s="6" t="s">
        <v>112</v>
      </c>
      <c r="U3" s="6" t="s">
        <v>113</v>
      </c>
      <c r="V3" s="6" t="s">
        <v>114</v>
      </c>
      <c r="W3" s="6" t="s">
        <v>15</v>
      </c>
      <c r="X3" s="6" t="s">
        <v>115</v>
      </c>
      <c r="Y3" s="6" t="s">
        <v>116</v>
      </c>
      <c r="Z3" s="6" t="s">
        <v>117</v>
      </c>
      <c r="AA3" s="6" t="s">
        <v>118</v>
      </c>
      <c r="AB3" s="6" t="s">
        <v>119</v>
      </c>
      <c r="AC3" s="6" t="s">
        <v>120</v>
      </c>
      <c r="AD3" s="6" t="s">
        <v>121</v>
      </c>
      <c r="AE3" s="6" t="s">
        <v>122</v>
      </c>
      <c r="AF3" s="6" t="s">
        <v>123</v>
      </c>
      <c r="AG3" s="6" t="s">
        <v>124</v>
      </c>
      <c r="AH3" s="6" t="s">
        <v>18</v>
      </c>
      <c r="AI3" s="6" t="s">
        <v>125</v>
      </c>
      <c r="AJ3" s="6" t="s">
        <v>126</v>
      </c>
      <c r="AK3" s="6" t="s">
        <v>127</v>
      </c>
      <c r="AL3" s="6" t="s">
        <v>128</v>
      </c>
      <c r="AM3" s="6" t="s">
        <v>129</v>
      </c>
      <c r="AN3" s="6" t="s">
        <v>130</v>
      </c>
      <c r="AO3" s="6" t="s">
        <v>131</v>
      </c>
      <c r="AP3" s="6" t="s">
        <v>132</v>
      </c>
      <c r="AQ3" s="6" t="s">
        <v>133</v>
      </c>
      <c r="AR3" s="6" t="s">
        <v>134</v>
      </c>
      <c r="AS3" s="6" t="s">
        <v>21</v>
      </c>
      <c r="AT3" s="6" t="s">
        <v>135</v>
      </c>
      <c r="AU3" s="6" t="s">
        <v>136</v>
      </c>
      <c r="AV3" s="6" t="s">
        <v>137</v>
      </c>
      <c r="AW3" s="6" t="s">
        <v>138</v>
      </c>
      <c r="AX3" s="6" t="s">
        <v>139</v>
      </c>
      <c r="AY3" s="6" t="s">
        <v>140</v>
      </c>
      <c r="AZ3" s="6" t="s">
        <v>141</v>
      </c>
      <c r="BA3" s="6" t="s">
        <v>142</v>
      </c>
      <c r="BB3" s="6" t="s">
        <v>143</v>
      </c>
      <c r="BC3" s="6" t="s">
        <v>144</v>
      </c>
      <c r="BD3" s="6" t="s">
        <v>24</v>
      </c>
      <c r="BE3" s="6" t="s">
        <v>145</v>
      </c>
      <c r="BF3" s="6" t="s">
        <v>146</v>
      </c>
      <c r="BG3" s="6" t="s">
        <v>147</v>
      </c>
      <c r="BH3" s="6" t="s">
        <v>148</v>
      </c>
      <c r="BI3" s="6" t="s">
        <v>149</v>
      </c>
      <c r="BJ3" s="6" t="s">
        <v>150</v>
      </c>
      <c r="BK3" s="6" t="s">
        <v>151</v>
      </c>
      <c r="BL3" s="6" t="s">
        <v>152</v>
      </c>
      <c r="BM3" s="6" t="s">
        <v>153</v>
      </c>
      <c r="BN3" s="6" t="s">
        <v>154</v>
      </c>
      <c r="BO3" s="6" t="s">
        <v>27</v>
      </c>
    </row>
    <row r="4" customFormat="false" ht="15" hidden="false" customHeight="false" outlineLevel="0" collapsed="false">
      <c r="A4" s="1" t="s">
        <v>155</v>
      </c>
      <c r="B4" s="13" t="n">
        <v>510</v>
      </c>
      <c r="C4" s="14" t="n">
        <v>0.445</v>
      </c>
      <c r="D4" s="13" t="n">
        <v>725</v>
      </c>
      <c r="E4" s="14" t="n">
        <v>0.632</v>
      </c>
      <c r="F4" s="13" t="n">
        <v>870</v>
      </c>
      <c r="G4" s="14" t="n">
        <v>0.758</v>
      </c>
      <c r="H4" s="13" t="n">
        <v>990</v>
      </c>
      <c r="I4" s="14" t="n">
        <v>0.862</v>
      </c>
      <c r="J4" s="13" t="n">
        <v>160</v>
      </c>
      <c r="K4" s="14" t="n">
        <v>0.138</v>
      </c>
      <c r="L4" s="13" t="n">
        <v>1150</v>
      </c>
      <c r="M4" s="13" t="n">
        <v>545</v>
      </c>
      <c r="N4" s="14" t="n">
        <v>0.441</v>
      </c>
      <c r="O4" s="13" t="n">
        <v>735</v>
      </c>
      <c r="P4" s="14" t="n">
        <v>0.598</v>
      </c>
      <c r="Q4" s="13" t="n">
        <v>900</v>
      </c>
      <c r="R4" s="14" t="n">
        <v>0.73</v>
      </c>
      <c r="S4" s="13" t="n">
        <v>1025</v>
      </c>
      <c r="T4" s="14" t="n">
        <v>0.831</v>
      </c>
      <c r="U4" s="13" t="n">
        <v>210</v>
      </c>
      <c r="V4" s="14" t="n">
        <v>0.169</v>
      </c>
      <c r="W4" s="13" t="n">
        <v>1230</v>
      </c>
      <c r="X4" s="13" t="n">
        <v>475</v>
      </c>
      <c r="Y4" s="14" t="n">
        <v>0.413</v>
      </c>
      <c r="Z4" s="13" t="n">
        <v>655</v>
      </c>
      <c r="AA4" s="14" t="n">
        <v>0.569</v>
      </c>
      <c r="AB4" s="13" t="n">
        <v>815</v>
      </c>
      <c r="AC4" s="14" t="n">
        <v>0.708</v>
      </c>
      <c r="AD4" s="13" t="n">
        <v>950</v>
      </c>
      <c r="AE4" s="14" t="n">
        <v>0.825</v>
      </c>
      <c r="AF4" s="13" t="n">
        <v>200</v>
      </c>
      <c r="AG4" s="14" t="n">
        <v>0.175</v>
      </c>
      <c r="AH4" s="13" t="n">
        <v>1150</v>
      </c>
      <c r="AI4" s="13" t="n">
        <v>785</v>
      </c>
      <c r="AJ4" s="14" t="n">
        <v>0.589</v>
      </c>
      <c r="AK4" s="13" t="n">
        <v>1060</v>
      </c>
      <c r="AL4" s="14" t="n">
        <v>0.792</v>
      </c>
      <c r="AM4" s="13" t="n">
        <v>1215</v>
      </c>
      <c r="AN4" s="14" t="n">
        <v>0.908</v>
      </c>
      <c r="AO4" s="13" t="n">
        <v>1275</v>
      </c>
      <c r="AP4" s="14" t="n">
        <v>0.955</v>
      </c>
      <c r="AQ4" s="13" t="n">
        <v>60</v>
      </c>
      <c r="AR4" s="14" t="n">
        <v>0.045</v>
      </c>
      <c r="AS4" s="13" t="n">
        <v>1335</v>
      </c>
      <c r="AT4" s="13" t="n">
        <v>585</v>
      </c>
      <c r="AU4" s="14" t="n">
        <v>0.508</v>
      </c>
      <c r="AV4" s="13" t="n">
        <v>860</v>
      </c>
      <c r="AW4" s="14" t="n">
        <v>0.746</v>
      </c>
      <c r="AX4" s="13" t="n">
        <v>1050</v>
      </c>
      <c r="AY4" s="14" t="n">
        <v>0.912</v>
      </c>
      <c r="AZ4" s="13" t="n">
        <v>1100</v>
      </c>
      <c r="BA4" s="14" t="n">
        <v>0.957</v>
      </c>
      <c r="BB4" s="13" t="n">
        <v>50</v>
      </c>
      <c r="BC4" s="14" t="n">
        <v>0.043</v>
      </c>
      <c r="BD4" s="13" t="n">
        <v>1150</v>
      </c>
      <c r="BE4" s="13" t="n">
        <v>505</v>
      </c>
      <c r="BF4" s="14" t="n">
        <v>0.415</v>
      </c>
      <c r="BG4" s="13" t="n">
        <v>745</v>
      </c>
      <c r="BH4" s="14" t="n">
        <v>0.608</v>
      </c>
      <c r="BI4" s="13" t="n">
        <v>960</v>
      </c>
      <c r="BJ4" s="14" t="n">
        <v>0.786</v>
      </c>
      <c r="BK4" s="13" t="n">
        <v>1085</v>
      </c>
      <c r="BL4" s="14" t="n">
        <v>0.89</v>
      </c>
      <c r="BM4" s="13" t="n">
        <v>135</v>
      </c>
      <c r="BN4" s="14" t="n">
        <v>0.11</v>
      </c>
      <c r="BO4" s="13" t="n">
        <v>1220</v>
      </c>
    </row>
    <row r="5" customFormat="false" ht="15" hidden="false" customHeight="false" outlineLevel="0" collapsed="false">
      <c r="A5" s="1" t="s">
        <v>50</v>
      </c>
      <c r="B5" s="13" t="n">
        <v>1425</v>
      </c>
      <c r="C5" s="14" t="n">
        <v>0.31</v>
      </c>
      <c r="D5" s="13" t="n">
        <v>2490</v>
      </c>
      <c r="E5" s="14" t="n">
        <v>0.542</v>
      </c>
      <c r="F5" s="13" t="n">
        <v>3485</v>
      </c>
      <c r="G5" s="14" t="n">
        <v>0.759</v>
      </c>
      <c r="H5" s="13" t="n">
        <v>4130</v>
      </c>
      <c r="I5" s="14" t="n">
        <v>0.899</v>
      </c>
      <c r="J5" s="13" t="n">
        <v>465</v>
      </c>
      <c r="K5" s="14" t="n">
        <v>0.101</v>
      </c>
      <c r="L5" s="13" t="n">
        <v>4595</v>
      </c>
      <c r="M5" s="13" t="n">
        <v>1410</v>
      </c>
      <c r="N5" s="14" t="n">
        <v>0.327</v>
      </c>
      <c r="O5" s="13" t="n">
        <v>2610</v>
      </c>
      <c r="P5" s="14" t="n">
        <v>0.604</v>
      </c>
      <c r="Q5" s="13" t="n">
        <v>3455</v>
      </c>
      <c r="R5" s="14" t="n">
        <v>0.799</v>
      </c>
      <c r="S5" s="13" t="n">
        <v>4025</v>
      </c>
      <c r="T5" s="14" t="n">
        <v>0.931</v>
      </c>
      <c r="U5" s="13" t="n">
        <v>300</v>
      </c>
      <c r="V5" s="14" t="n">
        <v>0.069</v>
      </c>
      <c r="W5" s="13" t="n">
        <v>4325</v>
      </c>
      <c r="X5" s="13" t="n">
        <v>1540</v>
      </c>
      <c r="Y5" s="14" t="n">
        <v>0.348</v>
      </c>
      <c r="Z5" s="13" t="n">
        <v>2670</v>
      </c>
      <c r="AA5" s="14" t="n">
        <v>0.604</v>
      </c>
      <c r="AB5" s="13" t="n">
        <v>3540</v>
      </c>
      <c r="AC5" s="14" t="n">
        <v>0.802</v>
      </c>
      <c r="AD5" s="13" t="n">
        <v>4080</v>
      </c>
      <c r="AE5" s="14" t="n">
        <v>0.923</v>
      </c>
      <c r="AF5" s="13" t="n">
        <v>340</v>
      </c>
      <c r="AG5" s="14" t="n">
        <v>0.077</v>
      </c>
      <c r="AH5" s="13" t="n">
        <v>4420</v>
      </c>
      <c r="AI5" s="13" t="n">
        <v>2125</v>
      </c>
      <c r="AJ5" s="14" t="n">
        <v>0.487</v>
      </c>
      <c r="AK5" s="13" t="n">
        <v>3220</v>
      </c>
      <c r="AL5" s="14" t="n">
        <v>0.739</v>
      </c>
      <c r="AM5" s="13" t="n">
        <v>3965</v>
      </c>
      <c r="AN5" s="14" t="n">
        <v>0.909</v>
      </c>
      <c r="AO5" s="13" t="n">
        <v>4230</v>
      </c>
      <c r="AP5" s="14" t="n">
        <v>0.971</v>
      </c>
      <c r="AQ5" s="13" t="n">
        <v>130</v>
      </c>
      <c r="AR5" s="14" t="n">
        <v>0.029</v>
      </c>
      <c r="AS5" s="13" t="n">
        <v>4360</v>
      </c>
      <c r="AT5" s="13" t="n">
        <v>1590</v>
      </c>
      <c r="AU5" s="14" t="n">
        <v>0.403</v>
      </c>
      <c r="AV5" s="13" t="n">
        <v>2770</v>
      </c>
      <c r="AW5" s="14" t="n">
        <v>0.702</v>
      </c>
      <c r="AX5" s="13" t="n">
        <v>3630</v>
      </c>
      <c r="AY5" s="14" t="n">
        <v>0.919</v>
      </c>
      <c r="AZ5" s="13" t="n">
        <v>3855</v>
      </c>
      <c r="BA5" s="14" t="n">
        <v>0.976</v>
      </c>
      <c r="BB5" s="13" t="n">
        <v>95</v>
      </c>
      <c r="BC5" s="14" t="n">
        <v>0.024</v>
      </c>
      <c r="BD5" s="13" t="n">
        <v>3950</v>
      </c>
      <c r="BE5" s="13" t="n">
        <v>1080</v>
      </c>
      <c r="BF5" s="14" t="n">
        <v>0.287</v>
      </c>
      <c r="BG5" s="13" t="n">
        <v>2100</v>
      </c>
      <c r="BH5" s="14" t="n">
        <v>0.557</v>
      </c>
      <c r="BI5" s="13" t="n">
        <v>2955</v>
      </c>
      <c r="BJ5" s="14" t="n">
        <v>0.784</v>
      </c>
      <c r="BK5" s="13" t="n">
        <v>3480</v>
      </c>
      <c r="BL5" s="14" t="n">
        <v>0.923</v>
      </c>
      <c r="BM5" s="13" t="n">
        <v>290</v>
      </c>
      <c r="BN5" s="14" t="n">
        <v>0.077</v>
      </c>
      <c r="BO5" s="13" t="n">
        <v>3770</v>
      </c>
    </row>
    <row r="6" customFormat="false" ht="15" hidden="false" customHeight="false" outlineLevel="0" collapsed="false">
      <c r="A6" s="1" t="s">
        <v>51</v>
      </c>
      <c r="B6" s="13" t="n">
        <v>585</v>
      </c>
      <c r="C6" s="14" t="n">
        <v>0.196</v>
      </c>
      <c r="D6" s="13" t="n">
        <v>1140</v>
      </c>
      <c r="E6" s="14" t="n">
        <v>0.381</v>
      </c>
      <c r="F6" s="13" t="n">
        <v>1810</v>
      </c>
      <c r="G6" s="14" t="n">
        <v>0.604</v>
      </c>
      <c r="H6" s="13" t="n">
        <v>2460</v>
      </c>
      <c r="I6" s="14" t="n">
        <v>0.821</v>
      </c>
      <c r="J6" s="13" t="n">
        <v>535</v>
      </c>
      <c r="K6" s="14" t="n">
        <v>0.179</v>
      </c>
      <c r="L6" s="13" t="n">
        <v>2995</v>
      </c>
      <c r="M6" s="13" t="n">
        <v>400</v>
      </c>
      <c r="N6" s="14" t="n">
        <v>0.248</v>
      </c>
      <c r="O6" s="13" t="n">
        <v>770</v>
      </c>
      <c r="P6" s="14" t="n">
        <v>0.478</v>
      </c>
      <c r="Q6" s="13" t="n">
        <v>1190</v>
      </c>
      <c r="R6" s="14" t="n">
        <v>0.737</v>
      </c>
      <c r="S6" s="13" t="n">
        <v>1480</v>
      </c>
      <c r="T6" s="14" t="n">
        <v>0.918</v>
      </c>
      <c r="U6" s="13" t="n">
        <v>135</v>
      </c>
      <c r="V6" s="14" t="n">
        <v>0.082</v>
      </c>
      <c r="W6" s="13" t="n">
        <v>1615</v>
      </c>
      <c r="X6" s="13" t="n">
        <v>205</v>
      </c>
      <c r="Y6" s="14" t="n">
        <v>0.235</v>
      </c>
      <c r="Z6" s="13" t="n">
        <v>380</v>
      </c>
      <c r="AA6" s="14" t="n">
        <v>0.438</v>
      </c>
      <c r="AB6" s="13" t="n">
        <v>600</v>
      </c>
      <c r="AC6" s="14" t="n">
        <v>0.69</v>
      </c>
      <c r="AD6" s="13" t="n">
        <v>765</v>
      </c>
      <c r="AE6" s="14" t="n">
        <v>0.881</v>
      </c>
      <c r="AF6" s="13" t="n">
        <v>105</v>
      </c>
      <c r="AG6" s="14" t="n">
        <v>0.119</v>
      </c>
      <c r="AH6" s="13" t="n">
        <v>870</v>
      </c>
      <c r="AI6" s="13" t="s">
        <v>35</v>
      </c>
      <c r="AJ6" s="14" t="s">
        <v>35</v>
      </c>
      <c r="AK6" s="13" t="s">
        <v>35</v>
      </c>
      <c r="AL6" s="14" t="s">
        <v>35</v>
      </c>
      <c r="AM6" s="13" t="s">
        <v>35</v>
      </c>
      <c r="AN6" s="14" t="s">
        <v>35</v>
      </c>
      <c r="AO6" s="13" t="s">
        <v>35</v>
      </c>
      <c r="AP6" s="14" t="s">
        <v>35</v>
      </c>
      <c r="AQ6" s="13" t="s">
        <v>35</v>
      </c>
      <c r="AR6" s="14" t="s">
        <v>35</v>
      </c>
      <c r="AS6" s="13" t="s">
        <v>35</v>
      </c>
      <c r="AT6" s="13" t="s">
        <v>35</v>
      </c>
      <c r="AU6" s="14" t="s">
        <v>35</v>
      </c>
      <c r="AV6" s="13" t="s">
        <v>35</v>
      </c>
      <c r="AW6" s="14" t="s">
        <v>35</v>
      </c>
      <c r="AX6" s="13" t="s">
        <v>35</v>
      </c>
      <c r="AY6" s="14" t="s">
        <v>35</v>
      </c>
      <c r="AZ6" s="13" t="s">
        <v>35</v>
      </c>
      <c r="BA6" s="14" t="s">
        <v>35</v>
      </c>
      <c r="BB6" s="13" t="s">
        <v>35</v>
      </c>
      <c r="BC6" s="14" t="s">
        <v>35</v>
      </c>
      <c r="BD6" s="13" t="s">
        <v>35</v>
      </c>
      <c r="BE6" s="13" t="s">
        <v>35</v>
      </c>
      <c r="BF6" s="14" t="s">
        <v>35</v>
      </c>
      <c r="BG6" s="13" t="s">
        <v>35</v>
      </c>
      <c r="BH6" s="14" t="s">
        <v>35</v>
      </c>
      <c r="BI6" s="13" t="s">
        <v>35</v>
      </c>
      <c r="BJ6" s="14" t="s">
        <v>35</v>
      </c>
      <c r="BK6" s="13" t="s">
        <v>35</v>
      </c>
      <c r="BL6" s="14" t="s">
        <v>35</v>
      </c>
      <c r="BM6" s="13" t="s">
        <v>35</v>
      </c>
      <c r="BN6" s="14" t="s">
        <v>35</v>
      </c>
      <c r="BO6" s="13" t="s">
        <v>35</v>
      </c>
    </row>
    <row r="7" customFormat="false" ht="15" hidden="false" customHeight="false" outlineLevel="0" collapsed="false">
      <c r="A7" s="1" t="s">
        <v>52</v>
      </c>
      <c r="B7" s="13" t="n">
        <v>990</v>
      </c>
      <c r="C7" s="14" t="n">
        <v>0.166</v>
      </c>
      <c r="D7" s="13" t="n">
        <v>2825</v>
      </c>
      <c r="E7" s="14" t="n">
        <v>0.475</v>
      </c>
      <c r="F7" s="13" t="n">
        <v>4875</v>
      </c>
      <c r="G7" s="14" t="n">
        <v>0.819</v>
      </c>
      <c r="H7" s="13" t="n">
        <v>5830</v>
      </c>
      <c r="I7" s="14" t="n">
        <v>0.98</v>
      </c>
      <c r="J7" s="13" t="n">
        <v>120</v>
      </c>
      <c r="K7" s="14" t="n">
        <v>0.02</v>
      </c>
      <c r="L7" s="13" t="n">
        <v>5950</v>
      </c>
      <c r="M7" s="13" t="n">
        <v>1155</v>
      </c>
      <c r="N7" s="14" t="n">
        <v>0.196</v>
      </c>
      <c r="O7" s="13" t="n">
        <v>2955</v>
      </c>
      <c r="P7" s="14" t="n">
        <v>0.502</v>
      </c>
      <c r="Q7" s="13" t="n">
        <v>4850</v>
      </c>
      <c r="R7" s="14" t="n">
        <v>0.824</v>
      </c>
      <c r="S7" s="13" t="n">
        <v>5765</v>
      </c>
      <c r="T7" s="14" t="n">
        <v>0.979</v>
      </c>
      <c r="U7" s="13" t="n">
        <v>125</v>
      </c>
      <c r="V7" s="14" t="n">
        <v>0.021</v>
      </c>
      <c r="W7" s="13" t="n">
        <v>5890</v>
      </c>
      <c r="X7" s="13" t="n">
        <v>1415</v>
      </c>
      <c r="Y7" s="14" t="n">
        <v>0.249</v>
      </c>
      <c r="Z7" s="13" t="n">
        <v>3155</v>
      </c>
      <c r="AA7" s="14" t="n">
        <v>0.555</v>
      </c>
      <c r="AB7" s="13" t="n">
        <v>4755</v>
      </c>
      <c r="AC7" s="14" t="n">
        <v>0.836</v>
      </c>
      <c r="AD7" s="13" t="n">
        <v>5505</v>
      </c>
      <c r="AE7" s="14" t="n">
        <v>0.968</v>
      </c>
      <c r="AF7" s="13" t="n">
        <v>180</v>
      </c>
      <c r="AG7" s="14" t="n">
        <v>0.032</v>
      </c>
      <c r="AH7" s="13" t="n">
        <v>5690</v>
      </c>
      <c r="AI7" s="13" t="n">
        <v>2760</v>
      </c>
      <c r="AJ7" s="14" t="n">
        <v>0.483</v>
      </c>
      <c r="AK7" s="13" t="n">
        <v>4385</v>
      </c>
      <c r="AL7" s="14" t="n">
        <v>0.768</v>
      </c>
      <c r="AM7" s="13" t="n">
        <v>5425</v>
      </c>
      <c r="AN7" s="14" t="n">
        <v>0.95</v>
      </c>
      <c r="AO7" s="13" t="n">
        <v>5625</v>
      </c>
      <c r="AP7" s="14" t="n">
        <v>0.985</v>
      </c>
      <c r="AQ7" s="13" t="n">
        <v>85</v>
      </c>
      <c r="AR7" s="14" t="n">
        <v>0.015</v>
      </c>
      <c r="AS7" s="13" t="n">
        <v>5710</v>
      </c>
      <c r="AT7" s="13" t="n">
        <v>2190</v>
      </c>
      <c r="AU7" s="14" t="n">
        <v>0.413</v>
      </c>
      <c r="AV7" s="13" t="n">
        <v>3910</v>
      </c>
      <c r="AW7" s="14" t="n">
        <v>0.739</v>
      </c>
      <c r="AX7" s="13" t="n">
        <v>5080</v>
      </c>
      <c r="AY7" s="14" t="n">
        <v>0.959</v>
      </c>
      <c r="AZ7" s="13" t="n">
        <v>5235</v>
      </c>
      <c r="BA7" s="14" t="n">
        <v>0.989</v>
      </c>
      <c r="BB7" s="13" t="n">
        <v>60</v>
      </c>
      <c r="BC7" s="14" t="n">
        <v>0.011</v>
      </c>
      <c r="BD7" s="13" t="n">
        <v>5295</v>
      </c>
      <c r="BE7" s="13" t="n">
        <v>1250</v>
      </c>
      <c r="BF7" s="14" t="n">
        <v>0.238</v>
      </c>
      <c r="BG7" s="13" t="n">
        <v>2700</v>
      </c>
      <c r="BH7" s="14" t="n">
        <v>0.516</v>
      </c>
      <c r="BI7" s="13" t="n">
        <v>4210</v>
      </c>
      <c r="BJ7" s="14" t="n">
        <v>0.805</v>
      </c>
      <c r="BK7" s="13" t="n">
        <v>5025</v>
      </c>
      <c r="BL7" s="14" t="n">
        <v>0.96</v>
      </c>
      <c r="BM7" s="13" t="n">
        <v>205</v>
      </c>
      <c r="BN7" s="14" t="n">
        <v>0.04</v>
      </c>
      <c r="BO7" s="13" t="n">
        <v>5235</v>
      </c>
    </row>
    <row r="8" customFormat="false" ht="15" hidden="false" customHeight="false" outlineLevel="0" collapsed="false">
      <c r="A8" s="1" t="s">
        <v>53</v>
      </c>
      <c r="B8" s="13" t="n">
        <v>1990</v>
      </c>
      <c r="C8" s="14" t="n">
        <v>0.279</v>
      </c>
      <c r="D8" s="13" t="n">
        <v>3555</v>
      </c>
      <c r="E8" s="14" t="n">
        <v>0.499</v>
      </c>
      <c r="F8" s="13" t="n">
        <v>5035</v>
      </c>
      <c r="G8" s="14" t="n">
        <v>0.706</v>
      </c>
      <c r="H8" s="13" t="n">
        <v>6265</v>
      </c>
      <c r="I8" s="14" t="n">
        <v>0.879</v>
      </c>
      <c r="J8" s="13" t="n">
        <v>865</v>
      </c>
      <c r="K8" s="14" t="n">
        <v>0.121</v>
      </c>
      <c r="L8" s="13" t="n">
        <v>7130</v>
      </c>
      <c r="M8" s="13" t="n">
        <v>2430</v>
      </c>
      <c r="N8" s="14" t="n">
        <v>0.344</v>
      </c>
      <c r="O8" s="13" t="n">
        <v>4005</v>
      </c>
      <c r="P8" s="14" t="n">
        <v>0.566</v>
      </c>
      <c r="Q8" s="13" t="n">
        <v>5330</v>
      </c>
      <c r="R8" s="14" t="n">
        <v>0.754</v>
      </c>
      <c r="S8" s="13" t="n">
        <v>6390</v>
      </c>
      <c r="T8" s="14" t="n">
        <v>0.904</v>
      </c>
      <c r="U8" s="13" t="n">
        <v>680</v>
      </c>
      <c r="V8" s="14" t="n">
        <v>0.096</v>
      </c>
      <c r="W8" s="13" t="n">
        <v>7070</v>
      </c>
      <c r="X8" s="13" t="n">
        <v>2230</v>
      </c>
      <c r="Y8" s="14" t="n">
        <v>0.304</v>
      </c>
      <c r="Z8" s="13" t="n">
        <v>3875</v>
      </c>
      <c r="AA8" s="14" t="n">
        <v>0.528</v>
      </c>
      <c r="AB8" s="13" t="n">
        <v>5525</v>
      </c>
      <c r="AC8" s="14" t="n">
        <v>0.753</v>
      </c>
      <c r="AD8" s="13" t="n">
        <v>6700</v>
      </c>
      <c r="AE8" s="14" t="n">
        <v>0.913</v>
      </c>
      <c r="AF8" s="13" t="n">
        <v>640</v>
      </c>
      <c r="AG8" s="14" t="n">
        <v>0.087</v>
      </c>
      <c r="AH8" s="13" t="n">
        <v>7340</v>
      </c>
      <c r="AI8" s="13" t="n">
        <v>2750</v>
      </c>
      <c r="AJ8" s="14" t="n">
        <v>0.372</v>
      </c>
      <c r="AK8" s="13" t="n">
        <v>4305</v>
      </c>
      <c r="AL8" s="14" t="n">
        <v>0.583</v>
      </c>
      <c r="AM8" s="13" t="n">
        <v>5775</v>
      </c>
      <c r="AN8" s="14" t="n">
        <v>0.782</v>
      </c>
      <c r="AO8" s="13" t="n">
        <v>6635</v>
      </c>
      <c r="AP8" s="14" t="n">
        <v>0.898</v>
      </c>
      <c r="AQ8" s="13" t="n">
        <v>755</v>
      </c>
      <c r="AR8" s="14" t="n">
        <v>0.102</v>
      </c>
      <c r="AS8" s="13" t="n">
        <v>7390</v>
      </c>
      <c r="AT8" s="13" t="n">
        <v>2655</v>
      </c>
      <c r="AU8" s="14" t="n">
        <v>0.357</v>
      </c>
      <c r="AV8" s="13" t="n">
        <v>4520</v>
      </c>
      <c r="AW8" s="14" t="n">
        <v>0.608</v>
      </c>
      <c r="AX8" s="13" t="n">
        <v>6310</v>
      </c>
      <c r="AY8" s="14" t="n">
        <v>0.85</v>
      </c>
      <c r="AZ8" s="13" t="n">
        <v>7065</v>
      </c>
      <c r="BA8" s="14" t="n">
        <v>0.951</v>
      </c>
      <c r="BB8" s="13" t="n">
        <v>365</v>
      </c>
      <c r="BC8" s="14" t="n">
        <v>0.049</v>
      </c>
      <c r="BD8" s="13" t="n">
        <v>7430</v>
      </c>
      <c r="BE8" s="13" t="n">
        <v>2125</v>
      </c>
      <c r="BF8" s="14" t="n">
        <v>0.276</v>
      </c>
      <c r="BG8" s="13" t="n">
        <v>3845</v>
      </c>
      <c r="BH8" s="14" t="n">
        <v>0.5</v>
      </c>
      <c r="BI8" s="13" t="n">
        <v>5590</v>
      </c>
      <c r="BJ8" s="14" t="n">
        <v>0.727</v>
      </c>
      <c r="BK8" s="13" t="n">
        <v>6920</v>
      </c>
      <c r="BL8" s="14" t="n">
        <v>0.901</v>
      </c>
      <c r="BM8" s="13" t="n">
        <v>765</v>
      </c>
      <c r="BN8" s="14" t="n">
        <v>0.099</v>
      </c>
      <c r="BO8" s="13" t="n">
        <v>7685</v>
      </c>
    </row>
    <row r="9" customFormat="false" ht="15" hidden="false" customHeight="false" outlineLevel="0" collapsed="false">
      <c r="A9" s="1" t="s">
        <v>156</v>
      </c>
      <c r="B9" s="13" t="n">
        <v>3360</v>
      </c>
      <c r="C9" s="14" t="n">
        <v>0.353</v>
      </c>
      <c r="D9" s="13" t="n">
        <v>5595</v>
      </c>
      <c r="E9" s="14" t="n">
        <v>0.588</v>
      </c>
      <c r="F9" s="13" t="n">
        <v>7470</v>
      </c>
      <c r="G9" s="14" t="n">
        <v>0.785</v>
      </c>
      <c r="H9" s="13" t="n">
        <v>8675</v>
      </c>
      <c r="I9" s="14" t="n">
        <v>0.912</v>
      </c>
      <c r="J9" s="13" t="n">
        <v>835</v>
      </c>
      <c r="K9" s="14" t="n">
        <v>0.088</v>
      </c>
      <c r="L9" s="13" t="n">
        <v>9515</v>
      </c>
      <c r="M9" s="13" t="n">
        <v>3275</v>
      </c>
      <c r="N9" s="14" t="n">
        <v>0.376</v>
      </c>
      <c r="O9" s="13" t="n">
        <v>5200</v>
      </c>
      <c r="P9" s="14" t="n">
        <v>0.597</v>
      </c>
      <c r="Q9" s="13" t="n">
        <v>6775</v>
      </c>
      <c r="R9" s="14" t="n">
        <v>0.778</v>
      </c>
      <c r="S9" s="13" t="n">
        <v>7790</v>
      </c>
      <c r="T9" s="14" t="n">
        <v>0.894</v>
      </c>
      <c r="U9" s="13" t="n">
        <v>920</v>
      </c>
      <c r="V9" s="14" t="n">
        <v>0.106</v>
      </c>
      <c r="W9" s="13" t="n">
        <v>8710</v>
      </c>
      <c r="X9" s="13" t="n">
        <v>3900</v>
      </c>
      <c r="Y9" s="14" t="n">
        <v>0.435</v>
      </c>
      <c r="Z9" s="13" t="n">
        <v>5890</v>
      </c>
      <c r="AA9" s="14" t="n">
        <v>0.657</v>
      </c>
      <c r="AB9" s="13" t="n">
        <v>7310</v>
      </c>
      <c r="AC9" s="14" t="n">
        <v>0.816</v>
      </c>
      <c r="AD9" s="13" t="n">
        <v>8155</v>
      </c>
      <c r="AE9" s="14" t="n">
        <v>0.91</v>
      </c>
      <c r="AF9" s="13" t="n">
        <v>810</v>
      </c>
      <c r="AG9" s="14" t="n">
        <v>0.09</v>
      </c>
      <c r="AH9" s="13" t="n">
        <v>8960</v>
      </c>
      <c r="AI9" s="13" t="n">
        <v>4390</v>
      </c>
      <c r="AJ9" s="14" t="n">
        <v>0.5</v>
      </c>
      <c r="AK9" s="13" t="n">
        <v>6315</v>
      </c>
      <c r="AL9" s="14" t="n">
        <v>0.719</v>
      </c>
      <c r="AM9" s="13" t="n">
        <v>7710</v>
      </c>
      <c r="AN9" s="14" t="n">
        <v>0.878</v>
      </c>
      <c r="AO9" s="13" t="n">
        <v>8275</v>
      </c>
      <c r="AP9" s="14" t="n">
        <v>0.943</v>
      </c>
      <c r="AQ9" s="13" t="n">
        <v>500</v>
      </c>
      <c r="AR9" s="14" t="n">
        <v>0.057</v>
      </c>
      <c r="AS9" s="13" t="n">
        <v>8775</v>
      </c>
      <c r="AT9" s="13" t="n">
        <v>3180</v>
      </c>
      <c r="AU9" s="14" t="n">
        <v>0.389</v>
      </c>
      <c r="AV9" s="13" t="n">
        <v>5540</v>
      </c>
      <c r="AW9" s="14" t="n">
        <v>0.678</v>
      </c>
      <c r="AX9" s="13" t="n">
        <v>7340</v>
      </c>
      <c r="AY9" s="14" t="n">
        <v>0.898</v>
      </c>
      <c r="AZ9" s="13" t="n">
        <v>7895</v>
      </c>
      <c r="BA9" s="14" t="n">
        <v>0.966</v>
      </c>
      <c r="BB9" s="13" t="n">
        <v>275</v>
      </c>
      <c r="BC9" s="14" t="n">
        <v>0.034</v>
      </c>
      <c r="BD9" s="13" t="n">
        <v>8170</v>
      </c>
      <c r="BE9" s="13" t="n">
        <v>2610</v>
      </c>
      <c r="BF9" s="14" t="n">
        <v>0.314</v>
      </c>
      <c r="BG9" s="13" t="n">
        <v>4595</v>
      </c>
      <c r="BH9" s="14" t="n">
        <v>0.552</v>
      </c>
      <c r="BI9" s="13" t="n">
        <v>6315</v>
      </c>
      <c r="BJ9" s="14" t="n">
        <v>0.759</v>
      </c>
      <c r="BK9" s="13" t="n">
        <v>7435</v>
      </c>
      <c r="BL9" s="14" t="n">
        <v>0.894</v>
      </c>
      <c r="BM9" s="13" t="n">
        <v>885</v>
      </c>
      <c r="BN9" s="14" t="n">
        <v>0.106</v>
      </c>
      <c r="BO9" s="13" t="n">
        <v>8320</v>
      </c>
    </row>
    <row r="10" customFormat="false" ht="15" hidden="false" customHeight="false" outlineLevel="0" collapsed="false">
      <c r="A10" s="1" t="s">
        <v>157</v>
      </c>
      <c r="B10" s="13" t="n">
        <v>35</v>
      </c>
      <c r="C10" s="14" t="n">
        <v>0.971</v>
      </c>
      <c r="D10" s="13" t="n">
        <v>35</v>
      </c>
      <c r="E10" s="14" t="n">
        <v>1</v>
      </c>
      <c r="F10" s="13" t="n">
        <v>35</v>
      </c>
      <c r="G10" s="14" t="n">
        <v>1</v>
      </c>
      <c r="H10" s="13" t="n">
        <v>35</v>
      </c>
      <c r="I10" s="14" t="n">
        <v>1</v>
      </c>
      <c r="J10" s="13" t="n">
        <v>0</v>
      </c>
      <c r="K10" s="14" t="n">
        <v>0</v>
      </c>
      <c r="L10" s="13" t="n">
        <v>35</v>
      </c>
      <c r="M10" s="13" t="n">
        <v>15</v>
      </c>
      <c r="N10" s="14" t="n">
        <v>0.944</v>
      </c>
      <c r="O10" s="13" t="n">
        <v>20</v>
      </c>
      <c r="P10" s="14" t="n">
        <v>1</v>
      </c>
      <c r="Q10" s="13" t="n">
        <v>20</v>
      </c>
      <c r="R10" s="14" t="n">
        <v>1</v>
      </c>
      <c r="S10" s="13" t="n">
        <v>20</v>
      </c>
      <c r="T10" s="14" t="n">
        <v>1</v>
      </c>
      <c r="U10" s="13" t="n">
        <v>0</v>
      </c>
      <c r="V10" s="14" t="n">
        <v>0</v>
      </c>
      <c r="W10" s="13" t="n">
        <v>20</v>
      </c>
      <c r="X10" s="13" t="n">
        <v>10</v>
      </c>
      <c r="Y10" s="14" t="n">
        <v>1</v>
      </c>
      <c r="Z10" s="13" t="n">
        <v>10</v>
      </c>
      <c r="AA10" s="14" t="n">
        <v>1</v>
      </c>
      <c r="AB10" s="13" t="n">
        <v>10</v>
      </c>
      <c r="AC10" s="14" t="n">
        <v>1</v>
      </c>
      <c r="AD10" s="13" t="n">
        <v>10</v>
      </c>
      <c r="AE10" s="14" t="n">
        <v>1</v>
      </c>
      <c r="AF10" s="13" t="n">
        <v>0</v>
      </c>
      <c r="AG10" s="14" t="n">
        <v>0</v>
      </c>
      <c r="AH10" s="13" t="n">
        <v>10</v>
      </c>
      <c r="AI10" s="13" t="n">
        <v>5</v>
      </c>
      <c r="AJ10" s="14" t="n">
        <v>0.667</v>
      </c>
      <c r="AK10" s="13" t="n">
        <v>10</v>
      </c>
      <c r="AL10" s="14" t="n">
        <v>1</v>
      </c>
      <c r="AM10" s="13" t="n">
        <v>10</v>
      </c>
      <c r="AN10" s="14" t="n">
        <v>1</v>
      </c>
      <c r="AO10" s="13" t="n">
        <v>10</v>
      </c>
      <c r="AP10" s="14" t="n">
        <v>1</v>
      </c>
      <c r="AQ10" s="13" t="n">
        <v>0</v>
      </c>
      <c r="AR10" s="14" t="n">
        <v>0</v>
      </c>
      <c r="AS10" s="13" t="n">
        <v>10</v>
      </c>
      <c r="AT10" s="13" t="n">
        <v>10</v>
      </c>
      <c r="AU10" s="14" t="n">
        <v>0.889</v>
      </c>
      <c r="AV10" s="13" t="n">
        <v>10</v>
      </c>
      <c r="AW10" s="14" t="n">
        <v>1</v>
      </c>
      <c r="AX10" s="13" t="n">
        <v>10</v>
      </c>
      <c r="AY10" s="14" t="n">
        <v>1</v>
      </c>
      <c r="AZ10" s="13" t="n">
        <v>10</v>
      </c>
      <c r="BA10" s="14" t="n">
        <v>1</v>
      </c>
      <c r="BB10" s="13" t="n">
        <v>0</v>
      </c>
      <c r="BC10" s="14" t="n">
        <v>0</v>
      </c>
      <c r="BD10" s="13" t="n">
        <v>10</v>
      </c>
      <c r="BE10" s="13" t="n">
        <v>10</v>
      </c>
      <c r="BF10" s="14" t="n">
        <v>1</v>
      </c>
      <c r="BG10" s="13" t="n">
        <v>10</v>
      </c>
      <c r="BH10" s="14" t="n">
        <v>1</v>
      </c>
      <c r="BI10" s="13" t="n">
        <v>10</v>
      </c>
      <c r="BJ10" s="14" t="n">
        <v>1</v>
      </c>
      <c r="BK10" s="13" t="n">
        <v>10</v>
      </c>
      <c r="BL10" s="14" t="n">
        <v>1</v>
      </c>
      <c r="BM10" s="13" t="n">
        <v>0</v>
      </c>
      <c r="BN10" s="14" t="n">
        <v>0</v>
      </c>
      <c r="BO10" s="13" t="n">
        <v>10</v>
      </c>
    </row>
    <row r="11" customFormat="false" ht="15" hidden="false" customHeight="false" outlineLevel="0" collapsed="false">
      <c r="A11" s="1" t="s">
        <v>81</v>
      </c>
      <c r="B11" s="13" t="n">
        <v>10</v>
      </c>
      <c r="C11" s="14" t="n">
        <v>0.027</v>
      </c>
      <c r="D11" s="13" t="n">
        <v>45</v>
      </c>
      <c r="E11" s="14" t="n">
        <v>0.137</v>
      </c>
      <c r="F11" s="13" t="n">
        <v>125</v>
      </c>
      <c r="G11" s="14" t="n">
        <v>0.377</v>
      </c>
      <c r="H11" s="13" t="n">
        <v>240</v>
      </c>
      <c r="I11" s="14" t="n">
        <v>0.726</v>
      </c>
      <c r="J11" s="13" t="n">
        <v>90</v>
      </c>
      <c r="K11" s="14" t="n">
        <v>0.274</v>
      </c>
      <c r="L11" s="13" t="n">
        <v>330</v>
      </c>
      <c r="M11" s="13" t="n">
        <v>30</v>
      </c>
      <c r="N11" s="14" t="n">
        <v>0.084</v>
      </c>
      <c r="O11" s="13" t="n">
        <v>105</v>
      </c>
      <c r="P11" s="14" t="n">
        <v>0.282</v>
      </c>
      <c r="Q11" s="13" t="n">
        <v>220</v>
      </c>
      <c r="R11" s="14" t="n">
        <v>0.602</v>
      </c>
      <c r="S11" s="13" t="n">
        <v>315</v>
      </c>
      <c r="T11" s="14" t="n">
        <v>0.848</v>
      </c>
      <c r="U11" s="13" t="n">
        <v>55</v>
      </c>
      <c r="V11" s="14" t="n">
        <v>0.152</v>
      </c>
      <c r="W11" s="13" t="n">
        <v>370</v>
      </c>
      <c r="X11" s="13" t="n">
        <v>40</v>
      </c>
      <c r="Y11" s="14" t="n">
        <v>0.107</v>
      </c>
      <c r="Z11" s="13" t="n">
        <v>135</v>
      </c>
      <c r="AA11" s="14" t="n">
        <v>0.36</v>
      </c>
      <c r="AB11" s="13" t="n">
        <v>230</v>
      </c>
      <c r="AC11" s="14" t="n">
        <v>0.608</v>
      </c>
      <c r="AD11" s="13" t="n">
        <v>315</v>
      </c>
      <c r="AE11" s="14" t="n">
        <v>0.845</v>
      </c>
      <c r="AF11" s="13" t="n">
        <v>60</v>
      </c>
      <c r="AG11" s="14" t="n">
        <v>0.155</v>
      </c>
      <c r="AH11" s="13" t="n">
        <v>375</v>
      </c>
      <c r="AI11" s="13" t="n">
        <v>105</v>
      </c>
      <c r="AJ11" s="14" t="n">
        <v>0.292</v>
      </c>
      <c r="AK11" s="13" t="n">
        <v>190</v>
      </c>
      <c r="AL11" s="14" t="n">
        <v>0.529</v>
      </c>
      <c r="AM11" s="13" t="n">
        <v>280</v>
      </c>
      <c r="AN11" s="14" t="n">
        <v>0.777</v>
      </c>
      <c r="AO11" s="13" t="n">
        <v>310</v>
      </c>
      <c r="AP11" s="14" t="n">
        <v>0.854</v>
      </c>
      <c r="AQ11" s="13" t="n">
        <v>55</v>
      </c>
      <c r="AR11" s="14" t="n">
        <v>0.146</v>
      </c>
      <c r="AS11" s="13" t="n">
        <v>365</v>
      </c>
      <c r="AT11" s="13" t="n">
        <v>150</v>
      </c>
      <c r="AU11" s="14" t="n">
        <v>0.209</v>
      </c>
      <c r="AV11" s="13" t="n">
        <v>375</v>
      </c>
      <c r="AW11" s="14" t="n">
        <v>0.522</v>
      </c>
      <c r="AX11" s="13" t="n">
        <v>590</v>
      </c>
      <c r="AY11" s="14" t="n">
        <v>0.818</v>
      </c>
      <c r="AZ11" s="13" t="n">
        <v>655</v>
      </c>
      <c r="BA11" s="14" t="n">
        <v>0.91</v>
      </c>
      <c r="BB11" s="13" t="n">
        <v>65</v>
      </c>
      <c r="BC11" s="14" t="n">
        <v>0.09</v>
      </c>
      <c r="BD11" s="13" t="n">
        <v>720</v>
      </c>
      <c r="BE11" s="13" t="n">
        <v>85</v>
      </c>
      <c r="BF11" s="14" t="n">
        <v>0.103</v>
      </c>
      <c r="BG11" s="13" t="n">
        <v>250</v>
      </c>
      <c r="BH11" s="14" t="n">
        <v>0.296</v>
      </c>
      <c r="BI11" s="13" t="n">
        <v>465</v>
      </c>
      <c r="BJ11" s="14" t="n">
        <v>0.555</v>
      </c>
      <c r="BK11" s="13" t="n">
        <v>655</v>
      </c>
      <c r="BL11" s="14" t="n">
        <v>0.782</v>
      </c>
      <c r="BM11" s="13" t="n">
        <v>185</v>
      </c>
      <c r="BN11" s="14" t="n">
        <v>0.218</v>
      </c>
      <c r="BO11" s="13" t="n">
        <v>840</v>
      </c>
    </row>
    <row r="12" customFormat="false" ht="15" hidden="false" customHeight="false" outlineLevel="0" collapsed="false">
      <c r="A12" s="1" t="s">
        <v>55</v>
      </c>
      <c r="B12" s="13" t="n">
        <v>2945</v>
      </c>
      <c r="C12" s="14" t="n">
        <v>0.297</v>
      </c>
      <c r="D12" s="13" t="n">
        <v>5220</v>
      </c>
      <c r="E12" s="14" t="n">
        <v>0.527</v>
      </c>
      <c r="F12" s="13" t="n">
        <v>7355</v>
      </c>
      <c r="G12" s="14" t="n">
        <v>0.743</v>
      </c>
      <c r="H12" s="13" t="n">
        <v>8995</v>
      </c>
      <c r="I12" s="14" t="n">
        <v>0.908</v>
      </c>
      <c r="J12" s="13" t="n">
        <v>910</v>
      </c>
      <c r="K12" s="14" t="n">
        <v>0.092</v>
      </c>
      <c r="L12" s="13" t="n">
        <v>9900</v>
      </c>
      <c r="M12" s="13" t="n">
        <v>3160</v>
      </c>
      <c r="N12" s="14" t="n">
        <v>0.326</v>
      </c>
      <c r="O12" s="13" t="n">
        <v>5470</v>
      </c>
      <c r="P12" s="14" t="n">
        <v>0.565</v>
      </c>
      <c r="Q12" s="13" t="n">
        <v>7535</v>
      </c>
      <c r="R12" s="14" t="n">
        <v>0.778</v>
      </c>
      <c r="S12" s="13" t="n">
        <v>8930</v>
      </c>
      <c r="T12" s="14" t="n">
        <v>0.922</v>
      </c>
      <c r="U12" s="13" t="n">
        <v>755</v>
      </c>
      <c r="V12" s="14" t="n">
        <v>0.078</v>
      </c>
      <c r="W12" s="13" t="n">
        <v>9685</v>
      </c>
      <c r="X12" s="13" t="n">
        <v>3340</v>
      </c>
      <c r="Y12" s="14" t="n">
        <v>0.349</v>
      </c>
      <c r="Z12" s="13" t="n">
        <v>5645</v>
      </c>
      <c r="AA12" s="14" t="n">
        <v>0.59</v>
      </c>
      <c r="AB12" s="13" t="n">
        <v>7485</v>
      </c>
      <c r="AC12" s="14" t="n">
        <v>0.783</v>
      </c>
      <c r="AD12" s="13" t="n">
        <v>8725</v>
      </c>
      <c r="AE12" s="14" t="n">
        <v>0.912</v>
      </c>
      <c r="AF12" s="13" t="n">
        <v>840</v>
      </c>
      <c r="AG12" s="14" t="n">
        <v>0.088</v>
      </c>
      <c r="AH12" s="13" t="n">
        <v>9565</v>
      </c>
      <c r="AI12" s="13" t="n">
        <v>4265</v>
      </c>
      <c r="AJ12" s="14" t="n">
        <v>0.434</v>
      </c>
      <c r="AK12" s="13" t="n">
        <v>6220</v>
      </c>
      <c r="AL12" s="14" t="n">
        <v>0.633</v>
      </c>
      <c r="AM12" s="13" t="n">
        <v>8010</v>
      </c>
      <c r="AN12" s="14" t="n">
        <v>0.815</v>
      </c>
      <c r="AO12" s="13" t="n">
        <v>9035</v>
      </c>
      <c r="AP12" s="14" t="n">
        <v>0.919</v>
      </c>
      <c r="AQ12" s="13" t="n">
        <v>795</v>
      </c>
      <c r="AR12" s="14" t="n">
        <v>0.081</v>
      </c>
      <c r="AS12" s="13" t="n">
        <v>9835</v>
      </c>
      <c r="AT12" s="13" t="n">
        <v>4085</v>
      </c>
      <c r="AU12" s="14" t="n">
        <v>0.407</v>
      </c>
      <c r="AV12" s="13" t="n">
        <v>6645</v>
      </c>
      <c r="AW12" s="14" t="n">
        <v>0.662</v>
      </c>
      <c r="AX12" s="13" t="n">
        <v>8865</v>
      </c>
      <c r="AY12" s="14" t="n">
        <v>0.883</v>
      </c>
      <c r="AZ12" s="13" t="n">
        <v>9645</v>
      </c>
      <c r="BA12" s="14" t="n">
        <v>0.961</v>
      </c>
      <c r="BB12" s="13" t="n">
        <v>395</v>
      </c>
      <c r="BC12" s="14" t="n">
        <v>0.039</v>
      </c>
      <c r="BD12" s="13" t="n">
        <v>10040</v>
      </c>
      <c r="BE12" s="13" t="n">
        <v>2985</v>
      </c>
      <c r="BF12" s="14" t="n">
        <v>0.297</v>
      </c>
      <c r="BG12" s="13" t="n">
        <v>5375</v>
      </c>
      <c r="BH12" s="14" t="n">
        <v>0.535</v>
      </c>
      <c r="BI12" s="13" t="n">
        <v>7590</v>
      </c>
      <c r="BJ12" s="14" t="n">
        <v>0.755</v>
      </c>
      <c r="BK12" s="13" t="n">
        <v>9240</v>
      </c>
      <c r="BL12" s="14" t="n">
        <v>0.92</v>
      </c>
      <c r="BM12" s="13" t="n">
        <v>805</v>
      </c>
      <c r="BN12" s="14" t="n">
        <v>0.08</v>
      </c>
      <c r="BO12" s="13" t="n">
        <v>10045</v>
      </c>
    </row>
    <row r="13" customFormat="false" ht="15" hidden="false" customHeight="false" outlineLevel="0" collapsed="false">
      <c r="A13" s="1" t="s">
        <v>167</v>
      </c>
      <c r="B13" s="13" t="n">
        <v>30</v>
      </c>
      <c r="C13" s="14" t="n">
        <v>0.131</v>
      </c>
      <c r="D13" s="13" t="n">
        <v>90</v>
      </c>
      <c r="E13" s="14" t="n">
        <v>0.359</v>
      </c>
      <c r="F13" s="13" t="n">
        <v>155</v>
      </c>
      <c r="G13" s="14" t="n">
        <v>0.641</v>
      </c>
      <c r="H13" s="13" t="n">
        <v>210</v>
      </c>
      <c r="I13" s="14" t="n">
        <v>0.849</v>
      </c>
      <c r="J13" s="13" t="n">
        <v>35</v>
      </c>
      <c r="K13" s="14" t="n">
        <v>0.151</v>
      </c>
      <c r="L13" s="13" t="n">
        <v>245</v>
      </c>
      <c r="M13" s="13" t="n">
        <v>30</v>
      </c>
      <c r="N13" s="14" t="n">
        <v>0.143</v>
      </c>
      <c r="O13" s="13" t="n">
        <v>85</v>
      </c>
      <c r="P13" s="14" t="n">
        <v>0.371</v>
      </c>
      <c r="Q13" s="13" t="n">
        <v>165</v>
      </c>
      <c r="R13" s="14" t="n">
        <v>0.737</v>
      </c>
      <c r="S13" s="13" t="n">
        <v>205</v>
      </c>
      <c r="T13" s="14" t="n">
        <v>0.915</v>
      </c>
      <c r="U13" s="13" t="n">
        <v>20</v>
      </c>
      <c r="V13" s="14" t="n">
        <v>0.085</v>
      </c>
      <c r="W13" s="13" t="n">
        <v>225</v>
      </c>
      <c r="X13" s="13" t="n">
        <v>30</v>
      </c>
      <c r="Y13" s="14" t="n">
        <v>0.144</v>
      </c>
      <c r="Z13" s="13" t="n">
        <v>85</v>
      </c>
      <c r="AA13" s="14" t="n">
        <v>0.389</v>
      </c>
      <c r="AB13" s="13" t="n">
        <v>155</v>
      </c>
      <c r="AC13" s="14" t="n">
        <v>0.708</v>
      </c>
      <c r="AD13" s="13" t="n">
        <v>195</v>
      </c>
      <c r="AE13" s="14" t="n">
        <v>0.903</v>
      </c>
      <c r="AF13" s="13" t="n">
        <v>20</v>
      </c>
      <c r="AG13" s="14" t="n">
        <v>0.097</v>
      </c>
      <c r="AH13" s="13" t="n">
        <v>215</v>
      </c>
      <c r="AI13" s="13" t="n">
        <v>105</v>
      </c>
      <c r="AJ13" s="14" t="n">
        <v>0.355</v>
      </c>
      <c r="AK13" s="13" t="n">
        <v>185</v>
      </c>
      <c r="AL13" s="14" t="n">
        <v>0.621</v>
      </c>
      <c r="AM13" s="13" t="n">
        <v>250</v>
      </c>
      <c r="AN13" s="14" t="n">
        <v>0.827</v>
      </c>
      <c r="AO13" s="13" t="n">
        <v>275</v>
      </c>
      <c r="AP13" s="14" t="n">
        <v>0.91</v>
      </c>
      <c r="AQ13" s="13" t="n">
        <v>25</v>
      </c>
      <c r="AR13" s="14" t="n">
        <v>0.09</v>
      </c>
      <c r="AS13" s="13" t="n">
        <v>300</v>
      </c>
      <c r="AT13" s="13" t="n">
        <v>90</v>
      </c>
      <c r="AU13" s="14" t="n">
        <v>0.297</v>
      </c>
      <c r="AV13" s="13" t="n">
        <v>185</v>
      </c>
      <c r="AW13" s="14" t="n">
        <v>0.623</v>
      </c>
      <c r="AX13" s="13" t="n">
        <v>255</v>
      </c>
      <c r="AY13" s="14" t="n">
        <v>0.85</v>
      </c>
      <c r="AZ13" s="13" t="n">
        <v>280</v>
      </c>
      <c r="BA13" s="14" t="n">
        <v>0.927</v>
      </c>
      <c r="BB13" s="13" t="n">
        <v>20</v>
      </c>
      <c r="BC13" s="14" t="n">
        <v>0.073</v>
      </c>
      <c r="BD13" s="13" t="n">
        <v>300</v>
      </c>
      <c r="BE13" s="13" t="n">
        <v>55</v>
      </c>
      <c r="BF13" s="14" t="n">
        <v>0.142</v>
      </c>
      <c r="BG13" s="13" t="n">
        <v>130</v>
      </c>
      <c r="BH13" s="14" t="n">
        <v>0.336</v>
      </c>
      <c r="BI13" s="13" t="n">
        <v>255</v>
      </c>
      <c r="BJ13" s="14" t="n">
        <v>0.651</v>
      </c>
      <c r="BK13" s="13" t="n">
        <v>350</v>
      </c>
      <c r="BL13" s="14" t="n">
        <v>0.885</v>
      </c>
      <c r="BM13" s="13" t="n">
        <v>45</v>
      </c>
      <c r="BN13" s="14" t="n">
        <v>0.115</v>
      </c>
      <c r="BO13" s="13" t="n">
        <v>395</v>
      </c>
    </row>
    <row r="14" customFormat="false" ht="15" hidden="false" customHeight="false" outlineLevel="0" collapsed="false">
      <c r="A14" s="1" t="s">
        <v>56</v>
      </c>
      <c r="B14" s="13" t="n">
        <v>160</v>
      </c>
      <c r="C14" s="14" t="n">
        <v>0.3</v>
      </c>
      <c r="D14" s="13" t="n">
        <v>280</v>
      </c>
      <c r="E14" s="14" t="n">
        <v>0.519</v>
      </c>
      <c r="F14" s="13" t="n">
        <v>385</v>
      </c>
      <c r="G14" s="14" t="n">
        <v>0.713</v>
      </c>
      <c r="H14" s="13" t="n">
        <v>470</v>
      </c>
      <c r="I14" s="14" t="n">
        <v>0.872</v>
      </c>
      <c r="J14" s="13" t="n">
        <v>70</v>
      </c>
      <c r="K14" s="14" t="n">
        <v>0.128</v>
      </c>
      <c r="L14" s="13" t="n">
        <v>540</v>
      </c>
      <c r="M14" s="13" t="n">
        <v>175</v>
      </c>
      <c r="N14" s="14" t="n">
        <v>0.353</v>
      </c>
      <c r="O14" s="13" t="n">
        <v>285</v>
      </c>
      <c r="P14" s="14" t="n">
        <v>0.586</v>
      </c>
      <c r="Q14" s="13" t="n">
        <v>380</v>
      </c>
      <c r="R14" s="14" t="n">
        <v>0.771</v>
      </c>
      <c r="S14" s="13" t="n">
        <v>445</v>
      </c>
      <c r="T14" s="14" t="n">
        <v>0.906</v>
      </c>
      <c r="U14" s="13" t="n">
        <v>45</v>
      </c>
      <c r="V14" s="14" t="n">
        <v>0.094</v>
      </c>
      <c r="W14" s="13" t="n">
        <v>490</v>
      </c>
      <c r="X14" s="13" t="n">
        <v>170</v>
      </c>
      <c r="Y14" s="14" t="n">
        <v>0.307</v>
      </c>
      <c r="Z14" s="13" t="n">
        <v>290</v>
      </c>
      <c r="AA14" s="14" t="n">
        <v>0.529</v>
      </c>
      <c r="AB14" s="13" t="n">
        <v>410</v>
      </c>
      <c r="AC14" s="14" t="n">
        <v>0.745</v>
      </c>
      <c r="AD14" s="13" t="n">
        <v>495</v>
      </c>
      <c r="AE14" s="14" t="n">
        <v>0.896</v>
      </c>
      <c r="AF14" s="13" t="n">
        <v>55</v>
      </c>
      <c r="AG14" s="14" t="n">
        <v>0.104</v>
      </c>
      <c r="AH14" s="13" t="n">
        <v>550</v>
      </c>
      <c r="AI14" s="13" t="n">
        <v>305</v>
      </c>
      <c r="AJ14" s="14" t="n">
        <v>0.553</v>
      </c>
      <c r="AK14" s="13" t="n">
        <v>420</v>
      </c>
      <c r="AL14" s="14" t="n">
        <v>0.766</v>
      </c>
      <c r="AM14" s="13" t="n">
        <v>500</v>
      </c>
      <c r="AN14" s="14" t="n">
        <v>0.911</v>
      </c>
      <c r="AO14" s="13" t="n">
        <v>535</v>
      </c>
      <c r="AP14" s="14" t="n">
        <v>0.978</v>
      </c>
      <c r="AQ14" s="13" t="n">
        <v>10</v>
      </c>
      <c r="AR14" s="14" t="n">
        <v>0.022</v>
      </c>
      <c r="AS14" s="13" t="n">
        <v>550</v>
      </c>
      <c r="AT14" s="13" t="n">
        <v>220</v>
      </c>
      <c r="AU14" s="14" t="n">
        <v>0.493</v>
      </c>
      <c r="AV14" s="13" t="n">
        <v>340</v>
      </c>
      <c r="AW14" s="14" t="n">
        <v>0.758</v>
      </c>
      <c r="AX14" s="13" t="n">
        <v>420</v>
      </c>
      <c r="AY14" s="14" t="n">
        <v>0.936</v>
      </c>
      <c r="AZ14" s="13" t="n">
        <v>440</v>
      </c>
      <c r="BA14" s="14" t="n">
        <v>0.978</v>
      </c>
      <c r="BB14" s="13" t="n">
        <v>10</v>
      </c>
      <c r="BC14" s="14" t="n">
        <v>0.022</v>
      </c>
      <c r="BD14" s="13" t="n">
        <v>450</v>
      </c>
      <c r="BE14" s="13" t="n">
        <v>125</v>
      </c>
      <c r="BF14" s="14" t="n">
        <v>0.321</v>
      </c>
      <c r="BG14" s="13" t="n">
        <v>210</v>
      </c>
      <c r="BH14" s="14" t="n">
        <v>0.541</v>
      </c>
      <c r="BI14" s="13" t="n">
        <v>300</v>
      </c>
      <c r="BJ14" s="14" t="n">
        <v>0.763</v>
      </c>
      <c r="BK14" s="13" t="n">
        <v>345</v>
      </c>
      <c r="BL14" s="14" t="n">
        <v>0.875</v>
      </c>
      <c r="BM14" s="13" t="n">
        <v>50</v>
      </c>
      <c r="BN14" s="14" t="n">
        <v>0.125</v>
      </c>
      <c r="BO14" s="13" t="n">
        <v>390</v>
      </c>
    </row>
    <row r="15" customFormat="false" ht="15" hidden="false" customHeight="false" outlineLevel="0" collapsed="false">
      <c r="A15" s="1" t="s">
        <v>57</v>
      </c>
      <c r="B15" s="13" t="n">
        <v>1435</v>
      </c>
      <c r="C15" s="14" t="n">
        <v>0.384</v>
      </c>
      <c r="D15" s="13" t="n">
        <v>2065</v>
      </c>
      <c r="E15" s="14" t="n">
        <v>0.552</v>
      </c>
      <c r="F15" s="13" t="n">
        <v>2725</v>
      </c>
      <c r="G15" s="14" t="n">
        <v>0.727</v>
      </c>
      <c r="H15" s="13" t="n">
        <v>3210</v>
      </c>
      <c r="I15" s="14" t="n">
        <v>0.857</v>
      </c>
      <c r="J15" s="13" t="n">
        <v>535</v>
      </c>
      <c r="K15" s="14" t="n">
        <v>0.143</v>
      </c>
      <c r="L15" s="13" t="n">
        <v>3745</v>
      </c>
      <c r="M15" s="13" t="n">
        <v>1295</v>
      </c>
      <c r="N15" s="14" t="n">
        <v>0.363</v>
      </c>
      <c r="O15" s="13" t="n">
        <v>1925</v>
      </c>
      <c r="P15" s="14" t="n">
        <v>0.541</v>
      </c>
      <c r="Q15" s="13" t="n">
        <v>2485</v>
      </c>
      <c r="R15" s="14" t="n">
        <v>0.697</v>
      </c>
      <c r="S15" s="13" t="n">
        <v>2995</v>
      </c>
      <c r="T15" s="14" t="n">
        <v>0.841</v>
      </c>
      <c r="U15" s="13" t="n">
        <v>565</v>
      </c>
      <c r="V15" s="14" t="n">
        <v>0.159</v>
      </c>
      <c r="W15" s="13" t="n">
        <v>3560</v>
      </c>
      <c r="X15" s="13" t="n">
        <v>1255</v>
      </c>
      <c r="Y15" s="14" t="n">
        <v>0.36</v>
      </c>
      <c r="Z15" s="13" t="n">
        <v>1895</v>
      </c>
      <c r="AA15" s="14" t="n">
        <v>0.542</v>
      </c>
      <c r="AB15" s="13" t="n">
        <v>2485</v>
      </c>
      <c r="AC15" s="14" t="n">
        <v>0.711</v>
      </c>
      <c r="AD15" s="13" t="n">
        <v>2960</v>
      </c>
      <c r="AE15" s="14" t="n">
        <v>0.847</v>
      </c>
      <c r="AF15" s="13" t="n">
        <v>535</v>
      </c>
      <c r="AG15" s="14" t="n">
        <v>0.153</v>
      </c>
      <c r="AH15" s="13" t="n">
        <v>3490</v>
      </c>
      <c r="AI15" s="13" t="n">
        <v>1660</v>
      </c>
      <c r="AJ15" s="14" t="n">
        <v>0.491</v>
      </c>
      <c r="AK15" s="13" t="n">
        <v>2330</v>
      </c>
      <c r="AL15" s="14" t="n">
        <v>0.69</v>
      </c>
      <c r="AM15" s="13" t="n">
        <v>2910</v>
      </c>
      <c r="AN15" s="14" t="n">
        <v>0.862</v>
      </c>
      <c r="AO15" s="13" t="n">
        <v>3180</v>
      </c>
      <c r="AP15" s="14" t="n">
        <v>0.942</v>
      </c>
      <c r="AQ15" s="13" t="n">
        <v>195</v>
      </c>
      <c r="AR15" s="14" t="n">
        <v>0.058</v>
      </c>
      <c r="AS15" s="13" t="n">
        <v>3375</v>
      </c>
      <c r="AT15" s="13" t="n">
        <v>1240</v>
      </c>
      <c r="AU15" s="14" t="n">
        <v>0.392</v>
      </c>
      <c r="AV15" s="13" t="n">
        <v>2060</v>
      </c>
      <c r="AW15" s="14" t="n">
        <v>0.651</v>
      </c>
      <c r="AX15" s="13" t="n">
        <v>2825</v>
      </c>
      <c r="AY15" s="14" t="n">
        <v>0.892</v>
      </c>
      <c r="AZ15" s="13" t="n">
        <v>3050</v>
      </c>
      <c r="BA15" s="14" t="n">
        <v>0.964</v>
      </c>
      <c r="BB15" s="13" t="n">
        <v>115</v>
      </c>
      <c r="BC15" s="14" t="n">
        <v>0.036</v>
      </c>
      <c r="BD15" s="13" t="n">
        <v>3165</v>
      </c>
      <c r="BE15" s="13" t="n">
        <v>750</v>
      </c>
      <c r="BF15" s="14" t="n">
        <v>0.232</v>
      </c>
      <c r="BG15" s="13" t="n">
        <v>1420</v>
      </c>
      <c r="BH15" s="14" t="n">
        <v>0.44</v>
      </c>
      <c r="BI15" s="13" t="n">
        <v>2065</v>
      </c>
      <c r="BJ15" s="14" t="n">
        <v>0.639</v>
      </c>
      <c r="BK15" s="13" t="n">
        <v>2625</v>
      </c>
      <c r="BL15" s="14" t="n">
        <v>0.813</v>
      </c>
      <c r="BM15" s="13" t="n">
        <v>605</v>
      </c>
      <c r="BN15" s="14" t="n">
        <v>0.187</v>
      </c>
      <c r="BO15" s="13" t="n">
        <v>3230</v>
      </c>
    </row>
    <row r="16" customFormat="false" ht="15" hidden="false" customHeight="false" outlineLevel="0" collapsed="false">
      <c r="A16" s="1" t="s">
        <v>82</v>
      </c>
      <c r="B16" s="13" t="s">
        <v>35</v>
      </c>
      <c r="C16" s="14" t="s">
        <v>35</v>
      </c>
      <c r="D16" s="13" t="s">
        <v>35</v>
      </c>
      <c r="E16" s="14" t="s">
        <v>35</v>
      </c>
      <c r="F16" s="13" t="s">
        <v>35</v>
      </c>
      <c r="G16" s="14" t="s">
        <v>35</v>
      </c>
      <c r="H16" s="13" t="s">
        <v>35</v>
      </c>
      <c r="I16" s="14" t="s">
        <v>35</v>
      </c>
      <c r="J16" s="13" t="s">
        <v>35</v>
      </c>
      <c r="K16" s="14" t="s">
        <v>35</v>
      </c>
      <c r="L16" s="13" t="n">
        <v>0</v>
      </c>
      <c r="M16" s="13" t="n">
        <v>0</v>
      </c>
      <c r="N16" s="14" t="n">
        <v>0</v>
      </c>
      <c r="O16" s="13" t="s">
        <v>33</v>
      </c>
      <c r="P16" s="14" t="s">
        <v>33</v>
      </c>
      <c r="Q16" s="13" t="s">
        <v>33</v>
      </c>
      <c r="R16" s="14" t="s">
        <v>33</v>
      </c>
      <c r="S16" s="13" t="s">
        <v>33</v>
      </c>
      <c r="T16" s="14" t="s">
        <v>33</v>
      </c>
      <c r="U16" s="13" t="s">
        <v>33</v>
      </c>
      <c r="V16" s="14" t="s">
        <v>33</v>
      </c>
      <c r="W16" s="13" t="s">
        <v>33</v>
      </c>
      <c r="X16" s="13" t="s">
        <v>35</v>
      </c>
      <c r="Y16" s="14" t="s">
        <v>35</v>
      </c>
      <c r="Z16" s="13" t="s">
        <v>35</v>
      </c>
      <c r="AA16" s="14" t="s">
        <v>35</v>
      </c>
      <c r="AB16" s="13" t="s">
        <v>35</v>
      </c>
      <c r="AC16" s="14" t="s">
        <v>35</v>
      </c>
      <c r="AD16" s="13" t="s">
        <v>35</v>
      </c>
      <c r="AE16" s="14" t="s">
        <v>35</v>
      </c>
      <c r="AF16" s="13" t="s">
        <v>35</v>
      </c>
      <c r="AG16" s="14" t="s">
        <v>35</v>
      </c>
      <c r="AH16" s="13" t="n">
        <v>0</v>
      </c>
      <c r="AI16" s="13" t="s">
        <v>35</v>
      </c>
      <c r="AJ16" s="14" t="s">
        <v>35</v>
      </c>
      <c r="AK16" s="13" t="s">
        <v>35</v>
      </c>
      <c r="AL16" s="14" t="s">
        <v>35</v>
      </c>
      <c r="AM16" s="13" t="s">
        <v>35</v>
      </c>
      <c r="AN16" s="14" t="s">
        <v>35</v>
      </c>
      <c r="AO16" s="13" t="s">
        <v>35</v>
      </c>
      <c r="AP16" s="14" t="s">
        <v>35</v>
      </c>
      <c r="AQ16" s="13" t="s">
        <v>35</v>
      </c>
      <c r="AR16" s="14" t="s">
        <v>35</v>
      </c>
      <c r="AS16" s="13" t="n">
        <v>0</v>
      </c>
      <c r="AT16" s="13" t="s">
        <v>35</v>
      </c>
      <c r="AU16" s="14" t="s">
        <v>35</v>
      </c>
      <c r="AV16" s="13" t="s">
        <v>35</v>
      </c>
      <c r="AW16" s="14" t="s">
        <v>35</v>
      </c>
      <c r="AX16" s="13" t="s">
        <v>35</v>
      </c>
      <c r="AY16" s="14" t="s">
        <v>35</v>
      </c>
      <c r="AZ16" s="13" t="s">
        <v>35</v>
      </c>
      <c r="BA16" s="14" t="s">
        <v>35</v>
      </c>
      <c r="BB16" s="13" t="s">
        <v>35</v>
      </c>
      <c r="BC16" s="14" t="s">
        <v>35</v>
      </c>
      <c r="BD16" s="13" t="n">
        <v>0</v>
      </c>
      <c r="BE16" s="13" t="s">
        <v>35</v>
      </c>
      <c r="BF16" s="14" t="s">
        <v>35</v>
      </c>
      <c r="BG16" s="13" t="s">
        <v>35</v>
      </c>
      <c r="BH16" s="14" t="s">
        <v>35</v>
      </c>
      <c r="BI16" s="13" t="s">
        <v>35</v>
      </c>
      <c r="BJ16" s="14" t="s">
        <v>35</v>
      </c>
      <c r="BK16" s="13" t="s">
        <v>35</v>
      </c>
      <c r="BL16" s="14" t="s">
        <v>35</v>
      </c>
      <c r="BM16" s="13" t="s">
        <v>35</v>
      </c>
      <c r="BN16" s="14" t="s">
        <v>35</v>
      </c>
      <c r="BO16" s="13" t="n">
        <v>0</v>
      </c>
    </row>
    <row r="17" customFormat="false" ht="15" hidden="false" customHeight="false" outlineLevel="0" collapsed="false">
      <c r="A17" s="1" t="s">
        <v>158</v>
      </c>
      <c r="B17" s="13" t="n">
        <v>105</v>
      </c>
      <c r="C17" s="14" t="n">
        <v>0.251</v>
      </c>
      <c r="D17" s="13" t="n">
        <v>230</v>
      </c>
      <c r="E17" s="14" t="n">
        <v>0.539</v>
      </c>
      <c r="F17" s="13" t="n">
        <v>320</v>
      </c>
      <c r="G17" s="14" t="n">
        <v>0.759</v>
      </c>
      <c r="H17" s="13" t="n">
        <v>390</v>
      </c>
      <c r="I17" s="14" t="n">
        <v>0.927</v>
      </c>
      <c r="J17" s="13" t="n">
        <v>30</v>
      </c>
      <c r="K17" s="14" t="n">
        <v>0.073</v>
      </c>
      <c r="L17" s="13" t="n">
        <v>425</v>
      </c>
      <c r="M17" s="13" t="n">
        <v>145</v>
      </c>
      <c r="N17" s="14" t="n">
        <v>0.308</v>
      </c>
      <c r="O17" s="13" t="n">
        <v>265</v>
      </c>
      <c r="P17" s="14" t="n">
        <v>0.555</v>
      </c>
      <c r="Q17" s="13" t="n">
        <v>365</v>
      </c>
      <c r="R17" s="14" t="n">
        <v>0.774</v>
      </c>
      <c r="S17" s="13" t="n">
        <v>435</v>
      </c>
      <c r="T17" s="14" t="n">
        <v>0.922</v>
      </c>
      <c r="U17" s="13" t="n">
        <v>35</v>
      </c>
      <c r="V17" s="14" t="n">
        <v>0.078</v>
      </c>
      <c r="W17" s="13" t="n">
        <v>475</v>
      </c>
      <c r="X17" s="13" t="n">
        <v>135</v>
      </c>
      <c r="Y17" s="14" t="n">
        <v>0.273</v>
      </c>
      <c r="Z17" s="13" t="n">
        <v>260</v>
      </c>
      <c r="AA17" s="14" t="n">
        <v>0.53</v>
      </c>
      <c r="AB17" s="13" t="n">
        <v>375</v>
      </c>
      <c r="AC17" s="14" t="n">
        <v>0.768</v>
      </c>
      <c r="AD17" s="13" t="n">
        <v>450</v>
      </c>
      <c r="AE17" s="14" t="n">
        <v>0.912</v>
      </c>
      <c r="AF17" s="13" t="n">
        <v>45</v>
      </c>
      <c r="AG17" s="14" t="n">
        <v>0.088</v>
      </c>
      <c r="AH17" s="13" t="n">
        <v>490</v>
      </c>
      <c r="AI17" s="13" t="n">
        <v>300</v>
      </c>
      <c r="AJ17" s="14" t="n">
        <v>0.606</v>
      </c>
      <c r="AK17" s="13" t="n">
        <v>410</v>
      </c>
      <c r="AL17" s="14" t="n">
        <v>0.83</v>
      </c>
      <c r="AM17" s="13" t="n">
        <v>475</v>
      </c>
      <c r="AN17" s="14" t="n">
        <v>0.962</v>
      </c>
      <c r="AO17" s="13" t="n">
        <v>490</v>
      </c>
      <c r="AP17" s="14" t="n">
        <v>0.988</v>
      </c>
      <c r="AQ17" s="13" t="n">
        <v>5</v>
      </c>
      <c r="AR17" s="14" t="n">
        <v>0.012</v>
      </c>
      <c r="AS17" s="13" t="n">
        <v>495</v>
      </c>
      <c r="AT17" s="13" t="n">
        <v>285</v>
      </c>
      <c r="AU17" s="14" t="s">
        <v>33</v>
      </c>
      <c r="AV17" s="13" t="n">
        <v>420</v>
      </c>
      <c r="AW17" s="14" t="s">
        <v>33</v>
      </c>
      <c r="AX17" s="13" t="n">
        <v>495</v>
      </c>
      <c r="AY17" s="14" t="s">
        <v>33</v>
      </c>
      <c r="AZ17" s="13" t="n">
        <v>505</v>
      </c>
      <c r="BA17" s="14" t="s">
        <v>33</v>
      </c>
      <c r="BB17" s="13" t="s">
        <v>33</v>
      </c>
      <c r="BC17" s="14" t="s">
        <v>33</v>
      </c>
      <c r="BD17" s="13" t="n">
        <v>510</v>
      </c>
      <c r="BE17" s="13" t="n">
        <v>160</v>
      </c>
      <c r="BF17" s="14" t="n">
        <v>0.317</v>
      </c>
      <c r="BG17" s="13" t="n">
        <v>285</v>
      </c>
      <c r="BH17" s="14" t="n">
        <v>0.572</v>
      </c>
      <c r="BI17" s="13" t="n">
        <v>415</v>
      </c>
      <c r="BJ17" s="14" t="n">
        <v>0.829</v>
      </c>
      <c r="BK17" s="13" t="n">
        <v>480</v>
      </c>
      <c r="BL17" s="14" t="n">
        <v>0.96</v>
      </c>
      <c r="BM17" s="13" t="n">
        <v>20</v>
      </c>
      <c r="BN17" s="14" t="n">
        <v>0.04</v>
      </c>
      <c r="BO17" s="13" t="n">
        <v>500</v>
      </c>
    </row>
    <row r="18" customFormat="false" ht="15" hidden="false" customHeight="false" outlineLevel="0" collapsed="false">
      <c r="A18" s="1" t="s">
        <v>83</v>
      </c>
      <c r="B18" s="13" t="n">
        <v>220</v>
      </c>
      <c r="C18" s="14" t="n">
        <v>0.109</v>
      </c>
      <c r="D18" s="13" t="n">
        <v>565</v>
      </c>
      <c r="E18" s="14" t="n">
        <v>0.282</v>
      </c>
      <c r="F18" s="13" t="n">
        <v>1035</v>
      </c>
      <c r="G18" s="14" t="n">
        <v>0.516</v>
      </c>
      <c r="H18" s="13" t="n">
        <v>1550</v>
      </c>
      <c r="I18" s="14" t="n">
        <v>0.773</v>
      </c>
      <c r="J18" s="13" t="n">
        <v>455</v>
      </c>
      <c r="K18" s="14" t="n">
        <v>0.227</v>
      </c>
      <c r="L18" s="13" t="n">
        <v>2005</v>
      </c>
      <c r="M18" s="13" t="n">
        <v>250</v>
      </c>
      <c r="N18" s="14" t="n">
        <v>0.122</v>
      </c>
      <c r="O18" s="13" t="n">
        <v>610</v>
      </c>
      <c r="P18" s="14" t="n">
        <v>0.301</v>
      </c>
      <c r="Q18" s="13" t="n">
        <v>1115</v>
      </c>
      <c r="R18" s="14" t="n">
        <v>0.548</v>
      </c>
      <c r="S18" s="13" t="n">
        <v>1685</v>
      </c>
      <c r="T18" s="14" t="n">
        <v>0.828</v>
      </c>
      <c r="U18" s="13" t="n">
        <v>350</v>
      </c>
      <c r="V18" s="14" t="n">
        <v>0.172</v>
      </c>
      <c r="W18" s="13" t="n">
        <v>2035</v>
      </c>
      <c r="X18" s="13" t="n">
        <v>400</v>
      </c>
      <c r="Y18" s="14" t="n">
        <v>0.175</v>
      </c>
      <c r="Z18" s="13" t="n">
        <v>880</v>
      </c>
      <c r="AA18" s="14" t="n">
        <v>0.385</v>
      </c>
      <c r="AB18" s="13" t="n">
        <v>1540</v>
      </c>
      <c r="AC18" s="14" t="n">
        <v>0.675</v>
      </c>
      <c r="AD18" s="13" t="n">
        <v>2035</v>
      </c>
      <c r="AE18" s="14" t="n">
        <v>0.892</v>
      </c>
      <c r="AF18" s="13" t="n">
        <v>245</v>
      </c>
      <c r="AG18" s="14" t="n">
        <v>0.108</v>
      </c>
      <c r="AH18" s="13" t="n">
        <v>2280</v>
      </c>
      <c r="AI18" s="13" t="n">
        <v>690</v>
      </c>
      <c r="AJ18" s="14" t="n">
        <v>0.302</v>
      </c>
      <c r="AK18" s="13" t="n">
        <v>1305</v>
      </c>
      <c r="AL18" s="14" t="n">
        <v>0.569</v>
      </c>
      <c r="AM18" s="13" t="n">
        <v>1865</v>
      </c>
      <c r="AN18" s="14" t="n">
        <v>0.812</v>
      </c>
      <c r="AO18" s="13" t="n">
        <v>2120</v>
      </c>
      <c r="AP18" s="14" t="n">
        <v>0.925</v>
      </c>
      <c r="AQ18" s="13" t="n">
        <v>170</v>
      </c>
      <c r="AR18" s="14" t="n">
        <v>0.075</v>
      </c>
      <c r="AS18" s="13" t="n">
        <v>2295</v>
      </c>
      <c r="AT18" s="13" t="n">
        <v>535</v>
      </c>
      <c r="AU18" s="14" t="n">
        <v>0.274</v>
      </c>
      <c r="AV18" s="13" t="n">
        <v>1170</v>
      </c>
      <c r="AW18" s="14" t="n">
        <v>0.595</v>
      </c>
      <c r="AX18" s="13" t="n">
        <v>1730</v>
      </c>
      <c r="AY18" s="14" t="n">
        <v>0.882</v>
      </c>
      <c r="AZ18" s="13" t="n">
        <v>1910</v>
      </c>
      <c r="BA18" s="14" t="n">
        <v>0.972</v>
      </c>
      <c r="BB18" s="13" t="n">
        <v>55</v>
      </c>
      <c r="BC18" s="14" t="n">
        <v>0.028</v>
      </c>
      <c r="BD18" s="13" t="n">
        <v>1965</v>
      </c>
      <c r="BE18" s="13" t="n">
        <v>265</v>
      </c>
      <c r="BF18" s="14" t="n">
        <v>0.118</v>
      </c>
      <c r="BG18" s="13" t="n">
        <v>655</v>
      </c>
      <c r="BH18" s="14" t="n">
        <v>0.292</v>
      </c>
      <c r="BI18" s="13" t="n">
        <v>1220</v>
      </c>
      <c r="BJ18" s="14" t="n">
        <v>0.542</v>
      </c>
      <c r="BK18" s="13" t="n">
        <v>1760</v>
      </c>
      <c r="BL18" s="14" t="n">
        <v>0.784</v>
      </c>
      <c r="BM18" s="13" t="n">
        <v>485</v>
      </c>
      <c r="BN18" s="14" t="n">
        <v>0.216</v>
      </c>
      <c r="BO18" s="13" t="n">
        <v>2250</v>
      </c>
    </row>
    <row r="19" customFormat="false" ht="15" hidden="false" customHeight="false" outlineLevel="0" collapsed="false">
      <c r="A19" s="1" t="s">
        <v>59</v>
      </c>
      <c r="B19" s="13" t="n">
        <v>815</v>
      </c>
      <c r="C19" s="14" t="n">
        <v>0.305</v>
      </c>
      <c r="D19" s="13" t="n">
        <v>1600</v>
      </c>
      <c r="E19" s="14" t="n">
        <v>0.597</v>
      </c>
      <c r="F19" s="13" t="n">
        <v>2220</v>
      </c>
      <c r="G19" s="14" t="n">
        <v>0.828</v>
      </c>
      <c r="H19" s="13" t="n">
        <v>2535</v>
      </c>
      <c r="I19" s="14" t="n">
        <v>0.947</v>
      </c>
      <c r="J19" s="13" t="n">
        <v>145</v>
      </c>
      <c r="K19" s="14" t="n">
        <v>0.053</v>
      </c>
      <c r="L19" s="13" t="n">
        <v>2680</v>
      </c>
      <c r="M19" s="13" t="n">
        <v>680</v>
      </c>
      <c r="N19" s="14" t="n">
        <v>0.266</v>
      </c>
      <c r="O19" s="13" t="n">
        <v>1495</v>
      </c>
      <c r="P19" s="14" t="n">
        <v>0.585</v>
      </c>
      <c r="Q19" s="13" t="n">
        <v>2150</v>
      </c>
      <c r="R19" s="14" t="n">
        <v>0.841</v>
      </c>
      <c r="S19" s="13" t="n">
        <v>2455</v>
      </c>
      <c r="T19" s="14" t="n">
        <v>0.961</v>
      </c>
      <c r="U19" s="13" t="n">
        <v>100</v>
      </c>
      <c r="V19" s="14" t="n">
        <v>0.039</v>
      </c>
      <c r="W19" s="13" t="n">
        <v>2555</v>
      </c>
      <c r="X19" s="13" t="n">
        <v>835</v>
      </c>
      <c r="Y19" s="14" t="n">
        <v>0.308</v>
      </c>
      <c r="Z19" s="13" t="n">
        <v>1670</v>
      </c>
      <c r="AA19" s="14" t="n">
        <v>0.616</v>
      </c>
      <c r="AB19" s="13" t="n">
        <v>2300</v>
      </c>
      <c r="AC19" s="14" t="n">
        <v>0.848</v>
      </c>
      <c r="AD19" s="13" t="n">
        <v>2630</v>
      </c>
      <c r="AE19" s="14" t="n">
        <v>0.97</v>
      </c>
      <c r="AF19" s="13" t="n">
        <v>80</v>
      </c>
      <c r="AG19" s="14" t="n">
        <v>0.03</v>
      </c>
      <c r="AH19" s="13" t="n">
        <v>2715</v>
      </c>
      <c r="AI19" s="13" t="n">
        <v>1670</v>
      </c>
      <c r="AJ19" s="14" t="n">
        <v>0.561</v>
      </c>
      <c r="AK19" s="13" t="n">
        <v>2340</v>
      </c>
      <c r="AL19" s="14" t="n">
        <v>0.785</v>
      </c>
      <c r="AM19" s="13" t="n">
        <v>2810</v>
      </c>
      <c r="AN19" s="14" t="n">
        <v>0.944</v>
      </c>
      <c r="AO19" s="13" t="n">
        <v>2935</v>
      </c>
      <c r="AP19" s="14" t="n">
        <v>0.985</v>
      </c>
      <c r="AQ19" s="13" t="n">
        <v>45</v>
      </c>
      <c r="AR19" s="14" t="n">
        <v>0.015</v>
      </c>
      <c r="AS19" s="13" t="n">
        <v>2975</v>
      </c>
      <c r="AT19" s="13" t="n">
        <v>1475</v>
      </c>
      <c r="AU19" s="14" t="n">
        <v>0.479</v>
      </c>
      <c r="AV19" s="13" t="n">
        <v>2380</v>
      </c>
      <c r="AW19" s="14" t="n">
        <v>0.772</v>
      </c>
      <c r="AX19" s="13" t="n">
        <v>2930</v>
      </c>
      <c r="AY19" s="14" t="n">
        <v>0.952</v>
      </c>
      <c r="AZ19" s="13" t="n">
        <v>3040</v>
      </c>
      <c r="BA19" s="14" t="n">
        <v>0.988</v>
      </c>
      <c r="BB19" s="13" t="n">
        <v>40</v>
      </c>
      <c r="BC19" s="14" t="n">
        <v>0.012</v>
      </c>
      <c r="BD19" s="13" t="n">
        <v>3080</v>
      </c>
      <c r="BE19" s="13" t="n">
        <v>790</v>
      </c>
      <c r="BF19" s="14" t="n">
        <v>0.274</v>
      </c>
      <c r="BG19" s="13" t="n">
        <v>1555</v>
      </c>
      <c r="BH19" s="14" t="n">
        <v>0.539</v>
      </c>
      <c r="BI19" s="13" t="n">
        <v>2285</v>
      </c>
      <c r="BJ19" s="14" t="n">
        <v>0.793</v>
      </c>
      <c r="BK19" s="13" t="n">
        <v>2715</v>
      </c>
      <c r="BL19" s="14" t="n">
        <v>0.941</v>
      </c>
      <c r="BM19" s="13" t="n">
        <v>170</v>
      </c>
      <c r="BN19" s="14" t="n">
        <v>0.059</v>
      </c>
      <c r="BO19" s="13" t="n">
        <v>2885</v>
      </c>
    </row>
    <row r="20" customFormat="false" ht="15" hidden="false" customHeight="false" outlineLevel="0" collapsed="false">
      <c r="A20" s="1" t="s">
        <v>84</v>
      </c>
      <c r="B20" s="13" t="s">
        <v>33</v>
      </c>
      <c r="C20" s="14" t="s">
        <v>33</v>
      </c>
      <c r="D20" s="13" t="s">
        <v>33</v>
      </c>
      <c r="E20" s="14" t="s">
        <v>33</v>
      </c>
      <c r="F20" s="13" t="s">
        <v>33</v>
      </c>
      <c r="G20" s="14" t="s">
        <v>33</v>
      </c>
      <c r="H20" s="13" t="s">
        <v>33</v>
      </c>
      <c r="I20" s="14" t="s">
        <v>33</v>
      </c>
      <c r="J20" s="13" t="n">
        <v>0</v>
      </c>
      <c r="K20" s="14" t="n">
        <v>0</v>
      </c>
      <c r="L20" s="13" t="s">
        <v>33</v>
      </c>
      <c r="M20" s="13" t="n">
        <v>0</v>
      </c>
      <c r="N20" s="14" t="n">
        <v>0</v>
      </c>
      <c r="O20" s="13" t="s">
        <v>33</v>
      </c>
      <c r="P20" s="14" t="s">
        <v>33</v>
      </c>
      <c r="Q20" s="13" t="s">
        <v>33</v>
      </c>
      <c r="R20" s="14" t="s">
        <v>33</v>
      </c>
      <c r="S20" s="13" t="s">
        <v>33</v>
      </c>
      <c r="T20" s="14" t="s">
        <v>33</v>
      </c>
      <c r="U20" s="13" t="n">
        <v>0</v>
      </c>
      <c r="V20" s="14" t="n">
        <v>0</v>
      </c>
      <c r="W20" s="13" t="s">
        <v>33</v>
      </c>
      <c r="X20" s="13" t="s">
        <v>35</v>
      </c>
      <c r="Y20" s="14" t="s">
        <v>35</v>
      </c>
      <c r="Z20" s="13" t="s">
        <v>35</v>
      </c>
      <c r="AA20" s="14" t="s">
        <v>35</v>
      </c>
      <c r="AB20" s="13" t="s">
        <v>35</v>
      </c>
      <c r="AC20" s="14" t="s">
        <v>35</v>
      </c>
      <c r="AD20" s="13" t="s">
        <v>35</v>
      </c>
      <c r="AE20" s="14" t="s">
        <v>35</v>
      </c>
      <c r="AF20" s="13" t="s">
        <v>35</v>
      </c>
      <c r="AG20" s="14" t="s">
        <v>35</v>
      </c>
      <c r="AH20" s="13" t="n">
        <v>0</v>
      </c>
      <c r="AI20" s="13" t="s">
        <v>35</v>
      </c>
      <c r="AJ20" s="14" t="s">
        <v>35</v>
      </c>
      <c r="AK20" s="13" t="s">
        <v>35</v>
      </c>
      <c r="AL20" s="14" t="s">
        <v>35</v>
      </c>
      <c r="AM20" s="13" t="s">
        <v>35</v>
      </c>
      <c r="AN20" s="14" t="s">
        <v>35</v>
      </c>
      <c r="AO20" s="13" t="s">
        <v>35</v>
      </c>
      <c r="AP20" s="14" t="s">
        <v>35</v>
      </c>
      <c r="AQ20" s="13" t="s">
        <v>35</v>
      </c>
      <c r="AR20" s="14" t="s">
        <v>35</v>
      </c>
      <c r="AS20" s="13" t="n">
        <v>0</v>
      </c>
      <c r="AT20" s="13" t="s">
        <v>35</v>
      </c>
      <c r="AU20" s="14" t="s">
        <v>35</v>
      </c>
      <c r="AV20" s="13" t="s">
        <v>35</v>
      </c>
      <c r="AW20" s="14" t="s">
        <v>35</v>
      </c>
      <c r="AX20" s="13" t="s">
        <v>35</v>
      </c>
      <c r="AY20" s="14" t="s">
        <v>35</v>
      </c>
      <c r="AZ20" s="13" t="s">
        <v>35</v>
      </c>
      <c r="BA20" s="14" t="s">
        <v>35</v>
      </c>
      <c r="BB20" s="13" t="s">
        <v>35</v>
      </c>
      <c r="BC20" s="14" t="s">
        <v>35</v>
      </c>
      <c r="BD20" s="13" t="n">
        <v>0</v>
      </c>
      <c r="BE20" s="13" t="s">
        <v>35</v>
      </c>
      <c r="BF20" s="14" t="s">
        <v>35</v>
      </c>
      <c r="BG20" s="13" t="s">
        <v>35</v>
      </c>
      <c r="BH20" s="14" t="s">
        <v>35</v>
      </c>
      <c r="BI20" s="13" t="s">
        <v>35</v>
      </c>
      <c r="BJ20" s="14" t="s">
        <v>35</v>
      </c>
      <c r="BK20" s="13" t="s">
        <v>35</v>
      </c>
      <c r="BL20" s="14" t="s">
        <v>35</v>
      </c>
      <c r="BM20" s="13" t="s">
        <v>35</v>
      </c>
      <c r="BN20" s="14" t="s">
        <v>35</v>
      </c>
      <c r="BO20" s="13" t="n">
        <v>0</v>
      </c>
    </row>
    <row r="21" customFormat="false" ht="15" hidden="false" customHeight="false" outlineLevel="0" collapsed="false">
      <c r="A21" s="1" t="s">
        <v>159</v>
      </c>
      <c r="B21" s="13" t="n">
        <v>410</v>
      </c>
      <c r="C21" s="14" t="n">
        <v>0.445</v>
      </c>
      <c r="D21" s="13" t="n">
        <v>550</v>
      </c>
      <c r="E21" s="14" t="n">
        <v>0.597</v>
      </c>
      <c r="F21" s="13" t="n">
        <v>700</v>
      </c>
      <c r="G21" s="14" t="n">
        <v>0.758</v>
      </c>
      <c r="H21" s="13" t="n">
        <v>805</v>
      </c>
      <c r="I21" s="14" t="n">
        <v>0.871</v>
      </c>
      <c r="J21" s="13" t="n">
        <v>120</v>
      </c>
      <c r="K21" s="14" t="n">
        <v>0.129</v>
      </c>
      <c r="L21" s="13" t="n">
        <v>925</v>
      </c>
      <c r="M21" s="13" t="n">
        <v>335</v>
      </c>
      <c r="N21" s="14" t="n">
        <v>0.374</v>
      </c>
      <c r="O21" s="13" t="n">
        <v>500</v>
      </c>
      <c r="P21" s="14" t="n">
        <v>0.563</v>
      </c>
      <c r="Q21" s="13" t="n">
        <v>660</v>
      </c>
      <c r="R21" s="14" t="n">
        <v>0.742</v>
      </c>
      <c r="S21" s="13" t="n">
        <v>790</v>
      </c>
      <c r="T21" s="14" t="n">
        <v>0.888</v>
      </c>
      <c r="U21" s="13" t="n">
        <v>100</v>
      </c>
      <c r="V21" s="14" t="n">
        <v>0.112</v>
      </c>
      <c r="W21" s="13" t="n">
        <v>890</v>
      </c>
      <c r="X21" s="13" t="n">
        <v>390</v>
      </c>
      <c r="Y21" s="14" t="n">
        <v>0.503</v>
      </c>
      <c r="Z21" s="13" t="n">
        <v>545</v>
      </c>
      <c r="AA21" s="14" t="n">
        <v>0.7</v>
      </c>
      <c r="AB21" s="13" t="n">
        <v>635</v>
      </c>
      <c r="AC21" s="14" t="n">
        <v>0.815</v>
      </c>
      <c r="AD21" s="13" t="n">
        <v>715</v>
      </c>
      <c r="AE21" s="14" t="n">
        <v>0.918</v>
      </c>
      <c r="AF21" s="13" t="n">
        <v>65</v>
      </c>
      <c r="AG21" s="14" t="n">
        <v>0.082</v>
      </c>
      <c r="AH21" s="13" t="n">
        <v>780</v>
      </c>
      <c r="AI21" s="13" t="n">
        <v>385</v>
      </c>
      <c r="AJ21" s="14" t="n">
        <v>0.628</v>
      </c>
      <c r="AK21" s="13" t="n">
        <v>495</v>
      </c>
      <c r="AL21" s="14" t="n">
        <v>0.815</v>
      </c>
      <c r="AM21" s="13" t="n">
        <v>565</v>
      </c>
      <c r="AN21" s="14" t="n">
        <v>0.923</v>
      </c>
      <c r="AO21" s="13" t="n">
        <v>580</v>
      </c>
      <c r="AP21" s="14" t="n">
        <v>0.954</v>
      </c>
      <c r="AQ21" s="13" t="n">
        <v>30</v>
      </c>
      <c r="AR21" s="14" t="n">
        <v>0.046</v>
      </c>
      <c r="AS21" s="13" t="n">
        <v>610</v>
      </c>
      <c r="AT21" s="13" t="n">
        <v>290</v>
      </c>
      <c r="AU21" s="14" t="n">
        <v>0.512</v>
      </c>
      <c r="AV21" s="13" t="n">
        <v>430</v>
      </c>
      <c r="AW21" s="14" t="n">
        <v>0.765</v>
      </c>
      <c r="AX21" s="13" t="n">
        <v>520</v>
      </c>
      <c r="AY21" s="14" t="n">
        <v>0.922</v>
      </c>
      <c r="AZ21" s="13" t="n">
        <v>550</v>
      </c>
      <c r="BA21" s="14" t="n">
        <v>0.975</v>
      </c>
      <c r="BB21" s="13" t="n">
        <v>15</v>
      </c>
      <c r="BC21" s="14" t="n">
        <v>0.025</v>
      </c>
      <c r="BD21" s="13" t="n">
        <v>565</v>
      </c>
      <c r="BE21" s="13" t="n">
        <v>235</v>
      </c>
      <c r="BF21" s="14" t="n">
        <v>0.403</v>
      </c>
      <c r="BG21" s="13" t="n">
        <v>370</v>
      </c>
      <c r="BH21" s="14" t="n">
        <v>0.633</v>
      </c>
      <c r="BI21" s="13" t="n">
        <v>465</v>
      </c>
      <c r="BJ21" s="14" t="n">
        <v>0.801</v>
      </c>
      <c r="BK21" s="13" t="n">
        <v>540</v>
      </c>
      <c r="BL21" s="14" t="n">
        <v>0.926</v>
      </c>
      <c r="BM21" s="13" t="n">
        <v>45</v>
      </c>
      <c r="BN21" s="14" t="n">
        <v>0.074</v>
      </c>
      <c r="BO21" s="13" t="n">
        <v>585</v>
      </c>
    </row>
    <row r="22" customFormat="false" ht="15" hidden="false" customHeight="false" outlineLevel="0" collapsed="false">
      <c r="A22" s="1" t="s">
        <v>85</v>
      </c>
      <c r="B22" s="13" t="n">
        <v>305</v>
      </c>
      <c r="C22" s="14" t="n">
        <v>0.219</v>
      </c>
      <c r="D22" s="13" t="n">
        <v>585</v>
      </c>
      <c r="E22" s="14" t="n">
        <v>0.421</v>
      </c>
      <c r="F22" s="13" t="n">
        <v>870</v>
      </c>
      <c r="G22" s="14" t="n">
        <v>0.622</v>
      </c>
      <c r="H22" s="13" t="n">
        <v>1105</v>
      </c>
      <c r="I22" s="14" t="n">
        <v>0.794</v>
      </c>
      <c r="J22" s="13" t="n">
        <v>290</v>
      </c>
      <c r="K22" s="14" t="n">
        <v>0.206</v>
      </c>
      <c r="L22" s="13" t="n">
        <v>1395</v>
      </c>
      <c r="M22" s="13" t="n">
        <v>295</v>
      </c>
      <c r="N22" s="14" t="n">
        <v>0.235</v>
      </c>
      <c r="O22" s="13" t="n">
        <v>545</v>
      </c>
      <c r="P22" s="14" t="n">
        <v>0.438</v>
      </c>
      <c r="Q22" s="13" t="n">
        <v>795</v>
      </c>
      <c r="R22" s="14" t="n">
        <v>0.639</v>
      </c>
      <c r="S22" s="13" t="n">
        <v>1005</v>
      </c>
      <c r="T22" s="14" t="n">
        <v>0.808</v>
      </c>
      <c r="U22" s="13" t="n">
        <v>240</v>
      </c>
      <c r="V22" s="14" t="n">
        <v>0.192</v>
      </c>
      <c r="W22" s="13" t="n">
        <v>1245</v>
      </c>
      <c r="X22" s="13" t="n">
        <v>325</v>
      </c>
      <c r="Y22" s="14" t="n">
        <v>0.276</v>
      </c>
      <c r="Z22" s="13" t="n">
        <v>580</v>
      </c>
      <c r="AA22" s="14" t="n">
        <v>0.491</v>
      </c>
      <c r="AB22" s="13" t="n">
        <v>820</v>
      </c>
      <c r="AC22" s="14" t="n">
        <v>0.693</v>
      </c>
      <c r="AD22" s="13" t="n">
        <v>1025</v>
      </c>
      <c r="AE22" s="14" t="n">
        <v>0.864</v>
      </c>
      <c r="AF22" s="13" t="n">
        <v>160</v>
      </c>
      <c r="AG22" s="14" t="n">
        <v>0.136</v>
      </c>
      <c r="AH22" s="13" t="n">
        <v>1185</v>
      </c>
      <c r="AI22" s="13" t="n">
        <v>475</v>
      </c>
      <c r="AJ22" s="14" t="n">
        <v>0.401</v>
      </c>
      <c r="AK22" s="13" t="n">
        <v>740</v>
      </c>
      <c r="AL22" s="14" t="n">
        <v>0.624</v>
      </c>
      <c r="AM22" s="13" t="n">
        <v>985</v>
      </c>
      <c r="AN22" s="14" t="n">
        <v>0.833</v>
      </c>
      <c r="AO22" s="13" t="n">
        <v>1105</v>
      </c>
      <c r="AP22" s="14" t="n">
        <v>0.934</v>
      </c>
      <c r="AQ22" s="13" t="n">
        <v>80</v>
      </c>
      <c r="AR22" s="14" t="n">
        <v>0.066</v>
      </c>
      <c r="AS22" s="13" t="n">
        <v>1185</v>
      </c>
      <c r="AT22" s="13" t="n">
        <v>435</v>
      </c>
      <c r="AU22" s="14" t="n">
        <v>0.406</v>
      </c>
      <c r="AV22" s="13" t="n">
        <v>720</v>
      </c>
      <c r="AW22" s="14" t="n">
        <v>0.674</v>
      </c>
      <c r="AX22" s="13" t="n">
        <v>950</v>
      </c>
      <c r="AY22" s="14" t="n">
        <v>0.891</v>
      </c>
      <c r="AZ22" s="13" t="n">
        <v>1030</v>
      </c>
      <c r="BA22" s="14" t="n">
        <v>0.967</v>
      </c>
      <c r="BB22" s="13" t="n">
        <v>35</v>
      </c>
      <c r="BC22" s="14" t="n">
        <v>0.033</v>
      </c>
      <c r="BD22" s="13" t="n">
        <v>1065</v>
      </c>
      <c r="BE22" s="13" t="n">
        <v>295</v>
      </c>
      <c r="BF22" s="14" t="n">
        <v>0.267</v>
      </c>
      <c r="BG22" s="13" t="n">
        <v>505</v>
      </c>
      <c r="BH22" s="14" t="n">
        <v>0.456</v>
      </c>
      <c r="BI22" s="13" t="n">
        <v>725</v>
      </c>
      <c r="BJ22" s="14" t="n">
        <v>0.653</v>
      </c>
      <c r="BK22" s="13" t="n">
        <v>930</v>
      </c>
      <c r="BL22" s="14" t="n">
        <v>0.837</v>
      </c>
      <c r="BM22" s="13" t="n">
        <v>180</v>
      </c>
      <c r="BN22" s="14" t="n">
        <v>0.163</v>
      </c>
      <c r="BO22" s="13" t="n">
        <v>1110</v>
      </c>
    </row>
    <row r="23" customFormat="false" ht="15" hidden="false" customHeight="false" outlineLevel="0" collapsed="false">
      <c r="A23" s="1" t="s">
        <v>60</v>
      </c>
      <c r="B23" s="13" t="n">
        <v>9635</v>
      </c>
      <c r="C23" s="14" t="n">
        <v>0.265</v>
      </c>
      <c r="D23" s="13" t="n">
        <v>18745</v>
      </c>
      <c r="E23" s="14" t="n">
        <v>0.516</v>
      </c>
      <c r="F23" s="13" t="n">
        <v>27065</v>
      </c>
      <c r="G23" s="14" t="n">
        <v>0.746</v>
      </c>
      <c r="H23" s="13" t="n">
        <v>33295</v>
      </c>
      <c r="I23" s="14" t="n">
        <v>0.917</v>
      </c>
      <c r="J23" s="13" t="n">
        <v>3005</v>
      </c>
      <c r="K23" s="14" t="n">
        <v>0.083</v>
      </c>
      <c r="L23" s="13" t="n">
        <v>36300</v>
      </c>
      <c r="M23" s="13" t="n">
        <v>9560</v>
      </c>
      <c r="N23" s="14" t="n">
        <v>0.269</v>
      </c>
      <c r="O23" s="13" t="n">
        <v>18845</v>
      </c>
      <c r="P23" s="14" t="n">
        <v>0.531</v>
      </c>
      <c r="Q23" s="13" t="n">
        <v>26950</v>
      </c>
      <c r="R23" s="14" t="n">
        <v>0.759</v>
      </c>
      <c r="S23" s="13" t="n">
        <v>32795</v>
      </c>
      <c r="T23" s="14" t="n">
        <v>0.923</v>
      </c>
      <c r="U23" s="13" t="n">
        <v>2720</v>
      </c>
      <c r="V23" s="14" t="n">
        <v>0.077</v>
      </c>
      <c r="W23" s="13" t="n">
        <v>35515</v>
      </c>
      <c r="X23" s="13" t="n">
        <v>9850</v>
      </c>
      <c r="Y23" s="14" t="n">
        <v>0.29</v>
      </c>
      <c r="Z23" s="13" t="n">
        <v>19440</v>
      </c>
      <c r="AA23" s="14" t="n">
        <v>0.571</v>
      </c>
      <c r="AB23" s="13" t="n">
        <v>27260</v>
      </c>
      <c r="AC23" s="14" t="n">
        <v>0.801</v>
      </c>
      <c r="AD23" s="13" t="n">
        <v>32135</v>
      </c>
      <c r="AE23" s="14" t="n">
        <v>0.944</v>
      </c>
      <c r="AF23" s="13" t="n">
        <v>1890</v>
      </c>
      <c r="AG23" s="14" t="n">
        <v>0.056</v>
      </c>
      <c r="AH23" s="13" t="n">
        <v>34025</v>
      </c>
      <c r="AI23" s="13" t="n">
        <v>15420</v>
      </c>
      <c r="AJ23" s="14" t="n">
        <v>0.422</v>
      </c>
      <c r="AK23" s="13" t="n">
        <v>24510</v>
      </c>
      <c r="AL23" s="14" t="n">
        <v>0.671</v>
      </c>
      <c r="AM23" s="13" t="n">
        <v>32210</v>
      </c>
      <c r="AN23" s="14" t="n">
        <v>0.882</v>
      </c>
      <c r="AO23" s="13" t="n">
        <v>35100</v>
      </c>
      <c r="AP23" s="14" t="n">
        <v>0.961</v>
      </c>
      <c r="AQ23" s="13" t="n">
        <v>1435</v>
      </c>
      <c r="AR23" s="14" t="n">
        <v>0.039</v>
      </c>
      <c r="AS23" s="13" t="n">
        <v>36535</v>
      </c>
      <c r="AT23" s="13" t="n">
        <v>11535</v>
      </c>
      <c r="AU23" s="14" t="n">
        <v>0.317</v>
      </c>
      <c r="AV23" s="13" t="n">
        <v>22015</v>
      </c>
      <c r="AW23" s="14" t="n">
        <v>0.605</v>
      </c>
      <c r="AX23" s="13" t="n">
        <v>31790</v>
      </c>
      <c r="AY23" s="14" t="n">
        <v>0.874</v>
      </c>
      <c r="AZ23" s="13" t="n">
        <v>35090</v>
      </c>
      <c r="BA23" s="14" t="n">
        <v>0.965</v>
      </c>
      <c r="BB23" s="13" t="n">
        <v>1280</v>
      </c>
      <c r="BC23" s="14" t="n">
        <v>0.035</v>
      </c>
      <c r="BD23" s="13" t="n">
        <v>36370</v>
      </c>
      <c r="BE23" s="13" t="n">
        <v>8150</v>
      </c>
      <c r="BF23" s="14" t="n">
        <v>0.23</v>
      </c>
      <c r="BG23" s="13" t="n">
        <v>17030</v>
      </c>
      <c r="BH23" s="14" t="n">
        <v>0.48</v>
      </c>
      <c r="BI23" s="13" t="n">
        <v>25965</v>
      </c>
      <c r="BJ23" s="14" t="n">
        <v>0.732</v>
      </c>
      <c r="BK23" s="13" t="n">
        <v>32525</v>
      </c>
      <c r="BL23" s="14" t="n">
        <v>0.917</v>
      </c>
      <c r="BM23" s="13" t="n">
        <v>2940</v>
      </c>
      <c r="BN23" s="14" t="n">
        <v>0.083</v>
      </c>
      <c r="BO23" s="13" t="n">
        <v>35460</v>
      </c>
    </row>
    <row r="24" customFormat="false" ht="15" hidden="false" customHeight="false" outlineLevel="0" collapsed="false">
      <c r="A24" s="1" t="s">
        <v>61</v>
      </c>
      <c r="B24" s="13" t="n">
        <v>405</v>
      </c>
      <c r="C24" s="14" t="n">
        <v>0.375</v>
      </c>
      <c r="D24" s="13" t="n">
        <v>690</v>
      </c>
      <c r="E24" s="14" t="n">
        <v>0.636</v>
      </c>
      <c r="F24" s="13" t="n">
        <v>935</v>
      </c>
      <c r="G24" s="14" t="n">
        <v>0.866</v>
      </c>
      <c r="H24" s="13" t="n">
        <v>1040</v>
      </c>
      <c r="I24" s="14" t="n">
        <v>0.964</v>
      </c>
      <c r="J24" s="13" t="n">
        <v>40</v>
      </c>
      <c r="K24" s="14" t="n">
        <v>0.036</v>
      </c>
      <c r="L24" s="13" t="n">
        <v>1080</v>
      </c>
      <c r="M24" s="13" t="n">
        <v>270</v>
      </c>
      <c r="N24" s="14" t="n">
        <v>0.314</v>
      </c>
      <c r="O24" s="13" t="n">
        <v>505</v>
      </c>
      <c r="P24" s="14" t="n">
        <v>0.593</v>
      </c>
      <c r="Q24" s="13" t="n">
        <v>715</v>
      </c>
      <c r="R24" s="14" t="n">
        <v>0.837</v>
      </c>
      <c r="S24" s="13" t="n">
        <v>820</v>
      </c>
      <c r="T24" s="14" t="n">
        <v>0.96</v>
      </c>
      <c r="U24" s="13" t="n">
        <v>35</v>
      </c>
      <c r="V24" s="14" t="n">
        <v>0.04</v>
      </c>
      <c r="W24" s="13" t="n">
        <v>855</v>
      </c>
      <c r="X24" s="13" t="n">
        <v>235</v>
      </c>
      <c r="Y24" s="14" t="n">
        <v>0.338</v>
      </c>
      <c r="Z24" s="13" t="n">
        <v>420</v>
      </c>
      <c r="AA24" s="14" t="n">
        <v>0.606</v>
      </c>
      <c r="AB24" s="13" t="n">
        <v>575</v>
      </c>
      <c r="AC24" s="14" t="n">
        <v>0.831</v>
      </c>
      <c r="AD24" s="13" t="n">
        <v>665</v>
      </c>
      <c r="AE24" s="14" t="n">
        <v>0.957</v>
      </c>
      <c r="AF24" s="13" t="n">
        <v>30</v>
      </c>
      <c r="AG24" s="14" t="n">
        <v>0.043</v>
      </c>
      <c r="AH24" s="13" t="n">
        <v>695</v>
      </c>
      <c r="AI24" s="13" t="n">
        <v>415</v>
      </c>
      <c r="AJ24" s="14" t="n">
        <v>0.57</v>
      </c>
      <c r="AK24" s="13" t="n">
        <v>610</v>
      </c>
      <c r="AL24" s="14" t="n">
        <v>0.833</v>
      </c>
      <c r="AM24" s="13" t="n">
        <v>710</v>
      </c>
      <c r="AN24" s="14" t="n">
        <v>0.97</v>
      </c>
      <c r="AO24" s="13" t="n">
        <v>725</v>
      </c>
      <c r="AP24" s="14" t="n">
        <v>0.993</v>
      </c>
      <c r="AQ24" s="13" t="n">
        <v>5</v>
      </c>
      <c r="AR24" s="14" t="n">
        <v>0.007</v>
      </c>
      <c r="AS24" s="13" t="n">
        <v>730</v>
      </c>
      <c r="AT24" s="13" t="n">
        <v>400</v>
      </c>
      <c r="AU24" s="14" t="s">
        <v>33</v>
      </c>
      <c r="AV24" s="13" t="n">
        <v>590</v>
      </c>
      <c r="AW24" s="14" t="s">
        <v>33</v>
      </c>
      <c r="AX24" s="13" t="n">
        <v>725</v>
      </c>
      <c r="AY24" s="14" t="s">
        <v>33</v>
      </c>
      <c r="AZ24" s="13" t="n">
        <v>740</v>
      </c>
      <c r="BA24" s="14" t="s">
        <v>33</v>
      </c>
      <c r="BB24" s="13" t="s">
        <v>33</v>
      </c>
      <c r="BC24" s="14" t="s">
        <v>33</v>
      </c>
      <c r="BD24" s="13" t="n">
        <v>740</v>
      </c>
      <c r="BE24" s="13" t="n">
        <v>250</v>
      </c>
      <c r="BF24" s="14" t="n">
        <v>0.321</v>
      </c>
      <c r="BG24" s="13" t="n">
        <v>480</v>
      </c>
      <c r="BH24" s="14" t="n">
        <v>0.611</v>
      </c>
      <c r="BI24" s="13" t="n">
        <v>665</v>
      </c>
      <c r="BJ24" s="14" t="n">
        <v>0.846</v>
      </c>
      <c r="BK24" s="13" t="n">
        <v>745</v>
      </c>
      <c r="BL24" s="14" t="n">
        <v>0.95</v>
      </c>
      <c r="BM24" s="13" t="n">
        <v>40</v>
      </c>
      <c r="BN24" s="14" t="n">
        <v>0.05</v>
      </c>
      <c r="BO24" s="13" t="n">
        <v>785</v>
      </c>
    </row>
    <row r="25" customFormat="false" ht="15" hidden="false" customHeight="false" outlineLevel="0" collapsed="false">
      <c r="A25" s="1" t="s">
        <v>62</v>
      </c>
      <c r="B25" s="13" t="n">
        <v>40</v>
      </c>
      <c r="C25" s="14" t="n">
        <v>0.066</v>
      </c>
      <c r="D25" s="13" t="n">
        <v>155</v>
      </c>
      <c r="E25" s="14" t="n">
        <v>0.267</v>
      </c>
      <c r="F25" s="13" t="n">
        <v>310</v>
      </c>
      <c r="G25" s="14" t="n">
        <v>0.538</v>
      </c>
      <c r="H25" s="13" t="n">
        <v>460</v>
      </c>
      <c r="I25" s="14" t="n">
        <v>0.795</v>
      </c>
      <c r="J25" s="13" t="n">
        <v>120</v>
      </c>
      <c r="K25" s="14" t="n">
        <v>0.205</v>
      </c>
      <c r="L25" s="13" t="n">
        <v>575</v>
      </c>
      <c r="M25" s="13" t="n">
        <v>80</v>
      </c>
      <c r="N25" s="14" t="n">
        <v>0.136</v>
      </c>
      <c r="O25" s="13" t="n">
        <v>200</v>
      </c>
      <c r="P25" s="14" t="n">
        <v>0.337</v>
      </c>
      <c r="Q25" s="13" t="n">
        <v>350</v>
      </c>
      <c r="R25" s="14" t="n">
        <v>0.595</v>
      </c>
      <c r="S25" s="13" t="n">
        <v>480</v>
      </c>
      <c r="T25" s="14" t="n">
        <v>0.818</v>
      </c>
      <c r="U25" s="13" t="n">
        <v>105</v>
      </c>
      <c r="V25" s="14" t="n">
        <v>0.182</v>
      </c>
      <c r="W25" s="13" t="n">
        <v>585</v>
      </c>
      <c r="X25" s="13" t="n">
        <v>110</v>
      </c>
      <c r="Y25" s="14" t="n">
        <v>0.201</v>
      </c>
      <c r="Z25" s="13" t="n">
        <v>230</v>
      </c>
      <c r="AA25" s="14" t="n">
        <v>0.422</v>
      </c>
      <c r="AB25" s="13" t="n">
        <v>375</v>
      </c>
      <c r="AC25" s="14" t="n">
        <v>0.694</v>
      </c>
      <c r="AD25" s="13" t="n">
        <v>485</v>
      </c>
      <c r="AE25" s="14" t="n">
        <v>0.891</v>
      </c>
      <c r="AF25" s="13" t="n">
        <v>60</v>
      </c>
      <c r="AG25" s="14" t="n">
        <v>0.109</v>
      </c>
      <c r="AH25" s="13" t="n">
        <v>545</v>
      </c>
      <c r="AI25" s="13" t="n">
        <v>180</v>
      </c>
      <c r="AJ25" s="14" t="n">
        <v>0.35</v>
      </c>
      <c r="AK25" s="13" t="n">
        <v>310</v>
      </c>
      <c r="AL25" s="14" t="n">
        <v>0.602</v>
      </c>
      <c r="AM25" s="13" t="n">
        <v>415</v>
      </c>
      <c r="AN25" s="14" t="n">
        <v>0.804</v>
      </c>
      <c r="AO25" s="13" t="n">
        <v>465</v>
      </c>
      <c r="AP25" s="14" t="n">
        <v>0.901</v>
      </c>
      <c r="AQ25" s="13" t="n">
        <v>50</v>
      </c>
      <c r="AR25" s="14" t="n">
        <v>0.099</v>
      </c>
      <c r="AS25" s="13" t="n">
        <v>515</v>
      </c>
      <c r="AT25" s="13" t="n">
        <v>110</v>
      </c>
      <c r="AU25" s="14" t="n">
        <v>0.311</v>
      </c>
      <c r="AV25" s="13" t="n">
        <v>215</v>
      </c>
      <c r="AW25" s="14" t="n">
        <v>0.603</v>
      </c>
      <c r="AX25" s="13" t="n">
        <v>320</v>
      </c>
      <c r="AY25" s="14" t="n">
        <v>0.894</v>
      </c>
      <c r="AZ25" s="13" t="n">
        <v>350</v>
      </c>
      <c r="BA25" s="14" t="n">
        <v>0.975</v>
      </c>
      <c r="BB25" s="13" t="n">
        <v>10</v>
      </c>
      <c r="BC25" s="14" t="n">
        <v>0.025</v>
      </c>
      <c r="BD25" s="13" t="n">
        <v>360</v>
      </c>
      <c r="BE25" s="13" t="n">
        <v>75</v>
      </c>
      <c r="BF25" s="14" t="n">
        <v>0.194</v>
      </c>
      <c r="BG25" s="13" t="n">
        <v>155</v>
      </c>
      <c r="BH25" s="14" t="n">
        <v>0.393</v>
      </c>
      <c r="BI25" s="13" t="n">
        <v>270</v>
      </c>
      <c r="BJ25" s="14" t="n">
        <v>0.684</v>
      </c>
      <c r="BK25" s="13" t="n">
        <v>335</v>
      </c>
      <c r="BL25" s="14" t="n">
        <v>0.86</v>
      </c>
      <c r="BM25" s="13" t="n">
        <v>55</v>
      </c>
      <c r="BN25" s="14" t="n">
        <v>0.14</v>
      </c>
      <c r="BO25" s="13" t="n">
        <v>390</v>
      </c>
    </row>
    <row r="26" customFormat="false" ht="15" hidden="false" customHeight="false" outlineLevel="0" collapsed="false">
      <c r="A26" s="1" t="s">
        <v>63</v>
      </c>
      <c r="B26" s="13" t="n">
        <v>50</v>
      </c>
      <c r="C26" s="14" t="n">
        <v>0.176</v>
      </c>
      <c r="D26" s="13" t="n">
        <v>145</v>
      </c>
      <c r="E26" s="14" t="n">
        <v>0.486</v>
      </c>
      <c r="F26" s="13" t="n">
        <v>245</v>
      </c>
      <c r="G26" s="14" t="n">
        <v>0.824</v>
      </c>
      <c r="H26" s="13" t="n">
        <v>280</v>
      </c>
      <c r="I26" s="14" t="n">
        <v>0.953</v>
      </c>
      <c r="J26" s="13" t="n">
        <v>15</v>
      </c>
      <c r="K26" s="14" t="n">
        <v>0.047</v>
      </c>
      <c r="L26" s="13" t="n">
        <v>295</v>
      </c>
      <c r="M26" s="13" t="n">
        <v>40</v>
      </c>
      <c r="N26" s="14" t="n">
        <v>0.12</v>
      </c>
      <c r="O26" s="13" t="n">
        <v>150</v>
      </c>
      <c r="P26" s="14" t="n">
        <v>0.433</v>
      </c>
      <c r="Q26" s="13" t="n">
        <v>250</v>
      </c>
      <c r="R26" s="14" t="n">
        <v>0.719</v>
      </c>
      <c r="S26" s="13" t="n">
        <v>320</v>
      </c>
      <c r="T26" s="14" t="n">
        <v>0.917</v>
      </c>
      <c r="U26" s="13" t="n">
        <v>30</v>
      </c>
      <c r="V26" s="14" t="n">
        <v>0.083</v>
      </c>
      <c r="W26" s="13" t="n">
        <v>350</v>
      </c>
      <c r="X26" s="13" t="n">
        <v>70</v>
      </c>
      <c r="Y26" s="14" t="n">
        <v>0.2</v>
      </c>
      <c r="Z26" s="13" t="n">
        <v>160</v>
      </c>
      <c r="AA26" s="14" t="n">
        <v>0.439</v>
      </c>
      <c r="AB26" s="13" t="n">
        <v>260</v>
      </c>
      <c r="AC26" s="14" t="n">
        <v>0.717</v>
      </c>
      <c r="AD26" s="13" t="n">
        <v>320</v>
      </c>
      <c r="AE26" s="14" t="n">
        <v>0.892</v>
      </c>
      <c r="AF26" s="13" t="n">
        <v>40</v>
      </c>
      <c r="AG26" s="14" t="n">
        <v>0.108</v>
      </c>
      <c r="AH26" s="13" t="n">
        <v>360</v>
      </c>
      <c r="AI26" s="13" t="n">
        <v>130</v>
      </c>
      <c r="AJ26" s="14" t="s">
        <v>33</v>
      </c>
      <c r="AK26" s="13" t="n">
        <v>195</v>
      </c>
      <c r="AL26" s="14" t="s">
        <v>33</v>
      </c>
      <c r="AM26" s="13" t="n">
        <v>240</v>
      </c>
      <c r="AN26" s="14" t="s">
        <v>33</v>
      </c>
      <c r="AO26" s="13" t="n">
        <v>250</v>
      </c>
      <c r="AP26" s="14" t="s">
        <v>33</v>
      </c>
      <c r="AQ26" s="13" t="s">
        <v>33</v>
      </c>
      <c r="AR26" s="14" t="s">
        <v>33</v>
      </c>
      <c r="AS26" s="13" t="n">
        <v>255</v>
      </c>
      <c r="AT26" s="13" t="n">
        <v>60</v>
      </c>
      <c r="AU26" s="14" t="s">
        <v>33</v>
      </c>
      <c r="AV26" s="13" t="n">
        <v>120</v>
      </c>
      <c r="AW26" s="14" t="s">
        <v>33</v>
      </c>
      <c r="AX26" s="13" t="n">
        <v>160</v>
      </c>
      <c r="AY26" s="14" t="s">
        <v>33</v>
      </c>
      <c r="AZ26" s="13" t="n">
        <v>165</v>
      </c>
      <c r="BA26" s="14" t="s">
        <v>33</v>
      </c>
      <c r="BB26" s="13" t="s">
        <v>33</v>
      </c>
      <c r="BC26" s="14" t="s">
        <v>33</v>
      </c>
      <c r="BD26" s="13" t="n">
        <v>170</v>
      </c>
      <c r="BE26" s="13" t="n">
        <v>20</v>
      </c>
      <c r="BF26" s="14" t="n">
        <v>0.088</v>
      </c>
      <c r="BG26" s="13" t="n">
        <v>95</v>
      </c>
      <c r="BH26" s="14" t="n">
        <v>0.437</v>
      </c>
      <c r="BI26" s="13" t="n">
        <v>160</v>
      </c>
      <c r="BJ26" s="14" t="n">
        <v>0.744</v>
      </c>
      <c r="BK26" s="13" t="n">
        <v>195</v>
      </c>
      <c r="BL26" s="14" t="n">
        <v>0.912</v>
      </c>
      <c r="BM26" s="13" t="n">
        <v>20</v>
      </c>
      <c r="BN26" s="14" t="n">
        <v>0.088</v>
      </c>
      <c r="BO26" s="13" t="n">
        <v>215</v>
      </c>
    </row>
    <row r="27" customFormat="false" ht="15" hidden="false" customHeight="false" outlineLevel="0" collapsed="false">
      <c r="A27" s="1" t="s">
        <v>32</v>
      </c>
      <c r="B27" s="13" t="n">
        <v>1175</v>
      </c>
      <c r="C27" s="14" t="n">
        <v>0.511</v>
      </c>
      <c r="D27" s="13" t="n">
        <v>1640</v>
      </c>
      <c r="E27" s="14" t="n">
        <v>0.713</v>
      </c>
      <c r="F27" s="13" t="n">
        <v>1970</v>
      </c>
      <c r="G27" s="14" t="n">
        <v>0.857</v>
      </c>
      <c r="H27" s="13" t="n">
        <v>2180</v>
      </c>
      <c r="I27" s="14" t="n">
        <v>0.948</v>
      </c>
      <c r="J27" s="13" t="n">
        <v>120</v>
      </c>
      <c r="K27" s="14" t="n">
        <v>0.052</v>
      </c>
      <c r="L27" s="13" t="n">
        <v>2300</v>
      </c>
      <c r="M27" s="13" t="n">
        <v>1185</v>
      </c>
      <c r="N27" s="14" t="n">
        <v>0.52</v>
      </c>
      <c r="O27" s="13" t="n">
        <v>1580</v>
      </c>
      <c r="P27" s="14" t="n">
        <v>0.693</v>
      </c>
      <c r="Q27" s="13" t="n">
        <v>1900</v>
      </c>
      <c r="R27" s="14" t="n">
        <v>0.833</v>
      </c>
      <c r="S27" s="13" t="n">
        <v>2125</v>
      </c>
      <c r="T27" s="14" t="n">
        <v>0.931</v>
      </c>
      <c r="U27" s="13" t="n">
        <v>155</v>
      </c>
      <c r="V27" s="14" t="n">
        <v>0.069</v>
      </c>
      <c r="W27" s="13" t="n">
        <v>2280</v>
      </c>
      <c r="X27" s="13" t="n">
        <v>1330</v>
      </c>
      <c r="Y27" s="14" t="n">
        <v>0.533</v>
      </c>
      <c r="Z27" s="13" t="n">
        <v>1760</v>
      </c>
      <c r="AA27" s="14" t="n">
        <v>0.704</v>
      </c>
      <c r="AB27" s="13" t="n">
        <v>2115</v>
      </c>
      <c r="AC27" s="14" t="n">
        <v>0.846</v>
      </c>
      <c r="AD27" s="13" t="n">
        <v>2365</v>
      </c>
      <c r="AE27" s="14" t="n">
        <v>0.946</v>
      </c>
      <c r="AF27" s="13" t="n">
        <v>135</v>
      </c>
      <c r="AG27" s="14" t="n">
        <v>0.054</v>
      </c>
      <c r="AH27" s="13" t="n">
        <v>2500</v>
      </c>
      <c r="AI27" s="13" t="n">
        <v>2140</v>
      </c>
      <c r="AJ27" s="14" t="n">
        <v>0.675</v>
      </c>
      <c r="AK27" s="13" t="n">
        <v>2690</v>
      </c>
      <c r="AL27" s="14" t="n">
        <v>0.848</v>
      </c>
      <c r="AM27" s="13" t="n">
        <v>3015</v>
      </c>
      <c r="AN27" s="14" t="n">
        <v>0.95</v>
      </c>
      <c r="AO27" s="13" t="n">
        <v>3120</v>
      </c>
      <c r="AP27" s="14" t="n">
        <v>0.983</v>
      </c>
      <c r="AQ27" s="13" t="n">
        <v>55</v>
      </c>
      <c r="AR27" s="14" t="n">
        <v>0.017</v>
      </c>
      <c r="AS27" s="13" t="n">
        <v>3175</v>
      </c>
      <c r="AT27" s="13" t="n">
        <v>2115</v>
      </c>
      <c r="AU27" s="14" t="n">
        <v>0.668</v>
      </c>
      <c r="AV27" s="13" t="n">
        <v>2725</v>
      </c>
      <c r="AW27" s="14" t="n">
        <v>0.861</v>
      </c>
      <c r="AX27" s="13" t="n">
        <v>3065</v>
      </c>
      <c r="AY27" s="14" t="n">
        <v>0.968</v>
      </c>
      <c r="AZ27" s="13" t="n">
        <v>3135</v>
      </c>
      <c r="BA27" s="14" t="n">
        <v>0.991</v>
      </c>
      <c r="BB27" s="13" t="n">
        <v>30</v>
      </c>
      <c r="BC27" s="14" t="n">
        <v>0.009</v>
      </c>
      <c r="BD27" s="13" t="n">
        <v>3165</v>
      </c>
      <c r="BE27" s="13" t="n">
        <v>1670</v>
      </c>
      <c r="BF27" s="14" t="n">
        <v>0.489</v>
      </c>
      <c r="BG27" s="13" t="n">
        <v>2415</v>
      </c>
      <c r="BH27" s="14" t="n">
        <v>0.707</v>
      </c>
      <c r="BI27" s="13" t="n">
        <v>2980</v>
      </c>
      <c r="BJ27" s="14" t="n">
        <v>0.872</v>
      </c>
      <c r="BK27" s="13" t="n">
        <v>3275</v>
      </c>
      <c r="BL27" s="14" t="n">
        <v>0.958</v>
      </c>
      <c r="BM27" s="13" t="n">
        <v>145</v>
      </c>
      <c r="BN27" s="14" t="n">
        <v>0.042</v>
      </c>
      <c r="BO27" s="13" t="n">
        <v>3415</v>
      </c>
    </row>
    <row r="28" customFormat="false" ht="15" hidden="false" customHeight="false" outlineLevel="0" collapsed="false">
      <c r="A28" s="1" t="s">
        <v>34</v>
      </c>
      <c r="B28" s="13" t="n">
        <v>30</v>
      </c>
      <c r="C28" s="14" t="s">
        <v>33</v>
      </c>
      <c r="D28" s="13" t="n">
        <v>40</v>
      </c>
      <c r="E28" s="14" t="s">
        <v>33</v>
      </c>
      <c r="F28" s="13" t="n">
        <v>45</v>
      </c>
      <c r="G28" s="14" t="s">
        <v>33</v>
      </c>
      <c r="H28" s="13" t="n">
        <v>50</v>
      </c>
      <c r="I28" s="14" t="s">
        <v>33</v>
      </c>
      <c r="J28" s="13" t="s">
        <v>33</v>
      </c>
      <c r="K28" s="14" t="s">
        <v>33</v>
      </c>
      <c r="L28" s="13" t="n">
        <v>50</v>
      </c>
      <c r="M28" s="13" t="n">
        <v>35</v>
      </c>
      <c r="N28" s="14" t="s">
        <v>33</v>
      </c>
      <c r="O28" s="13" t="n">
        <v>45</v>
      </c>
      <c r="P28" s="14" t="s">
        <v>33</v>
      </c>
      <c r="Q28" s="13" t="n">
        <v>55</v>
      </c>
      <c r="R28" s="14" t="s">
        <v>33</v>
      </c>
      <c r="S28" s="13" t="n">
        <v>60</v>
      </c>
      <c r="T28" s="14" t="s">
        <v>33</v>
      </c>
      <c r="U28" s="13" t="s">
        <v>33</v>
      </c>
      <c r="V28" s="14" t="s">
        <v>33</v>
      </c>
      <c r="W28" s="13" t="n">
        <v>65</v>
      </c>
      <c r="X28" s="13" t="n">
        <v>25</v>
      </c>
      <c r="Y28" s="14" t="n">
        <v>0.357</v>
      </c>
      <c r="Z28" s="13" t="n">
        <v>40</v>
      </c>
      <c r="AA28" s="14" t="n">
        <v>0.6</v>
      </c>
      <c r="AB28" s="13" t="n">
        <v>55</v>
      </c>
      <c r="AC28" s="14" t="n">
        <v>0.786</v>
      </c>
      <c r="AD28" s="13" t="n">
        <v>65</v>
      </c>
      <c r="AE28" s="14" t="n">
        <v>0.929</v>
      </c>
      <c r="AF28" s="13" t="n">
        <v>5</v>
      </c>
      <c r="AG28" s="14" t="n">
        <v>0.071</v>
      </c>
      <c r="AH28" s="13" t="n">
        <v>70</v>
      </c>
      <c r="AI28" s="13" t="n">
        <v>30</v>
      </c>
      <c r="AJ28" s="14" t="s">
        <v>33</v>
      </c>
      <c r="AK28" s="13" t="n">
        <v>50</v>
      </c>
      <c r="AL28" s="14" t="s">
        <v>33</v>
      </c>
      <c r="AM28" s="13" t="n">
        <v>60</v>
      </c>
      <c r="AN28" s="14" t="s">
        <v>33</v>
      </c>
      <c r="AO28" s="13" t="n">
        <v>60</v>
      </c>
      <c r="AP28" s="14" t="s">
        <v>33</v>
      </c>
      <c r="AQ28" s="13" t="s">
        <v>33</v>
      </c>
      <c r="AR28" s="14" t="s">
        <v>33</v>
      </c>
      <c r="AS28" s="13" t="n">
        <v>60</v>
      </c>
      <c r="AT28" s="13" t="n">
        <v>30</v>
      </c>
      <c r="AU28" s="14" t="n">
        <v>0.484</v>
      </c>
      <c r="AV28" s="13" t="n">
        <v>50</v>
      </c>
      <c r="AW28" s="14" t="n">
        <v>0.823</v>
      </c>
      <c r="AX28" s="13" t="n">
        <v>60</v>
      </c>
      <c r="AY28" s="14" t="n">
        <v>0.952</v>
      </c>
      <c r="AZ28" s="13" t="n">
        <v>60</v>
      </c>
      <c r="BA28" s="14" t="n">
        <v>1</v>
      </c>
      <c r="BB28" s="13" t="n">
        <v>0</v>
      </c>
      <c r="BC28" s="14" t="n">
        <v>0</v>
      </c>
      <c r="BD28" s="13" t="n">
        <v>60</v>
      </c>
      <c r="BE28" s="13" t="n">
        <v>30</v>
      </c>
      <c r="BF28" s="14" t="n">
        <v>0.525</v>
      </c>
      <c r="BG28" s="13" t="n">
        <v>45</v>
      </c>
      <c r="BH28" s="14" t="n">
        <v>0.77</v>
      </c>
      <c r="BI28" s="13" t="n">
        <v>55</v>
      </c>
      <c r="BJ28" s="14" t="n">
        <v>0.902</v>
      </c>
      <c r="BK28" s="13" t="n">
        <v>60</v>
      </c>
      <c r="BL28" s="14" t="n">
        <v>1</v>
      </c>
      <c r="BM28" s="13" t="n">
        <v>0</v>
      </c>
      <c r="BN28" s="14" t="n">
        <v>0</v>
      </c>
      <c r="BO28" s="13" t="n">
        <v>60</v>
      </c>
    </row>
    <row r="29" customFormat="false" ht="15" hidden="false" customHeight="false" outlineLevel="0" collapsed="false">
      <c r="A29" s="1" t="s">
        <v>36</v>
      </c>
      <c r="B29" s="13" t="n">
        <v>50</v>
      </c>
      <c r="C29" s="14" t="s">
        <v>33</v>
      </c>
      <c r="D29" s="13" t="n">
        <v>85</v>
      </c>
      <c r="E29" s="14" t="s">
        <v>33</v>
      </c>
      <c r="F29" s="13" t="n">
        <v>115</v>
      </c>
      <c r="G29" s="14" t="s">
        <v>33</v>
      </c>
      <c r="H29" s="13" t="n">
        <v>130</v>
      </c>
      <c r="I29" s="14" t="s">
        <v>33</v>
      </c>
      <c r="J29" s="13" t="s">
        <v>33</v>
      </c>
      <c r="K29" s="14" t="s">
        <v>33</v>
      </c>
      <c r="L29" s="13" t="n">
        <v>130</v>
      </c>
      <c r="M29" s="13" t="n">
        <v>55</v>
      </c>
      <c r="N29" s="14" t="s">
        <v>33</v>
      </c>
      <c r="O29" s="13" t="n">
        <v>85</v>
      </c>
      <c r="P29" s="14" t="s">
        <v>33</v>
      </c>
      <c r="Q29" s="13" t="n">
        <v>105</v>
      </c>
      <c r="R29" s="14" t="s">
        <v>33</v>
      </c>
      <c r="S29" s="13" t="n">
        <v>125</v>
      </c>
      <c r="T29" s="14" t="s">
        <v>33</v>
      </c>
      <c r="U29" s="13" t="s">
        <v>33</v>
      </c>
      <c r="V29" s="14" t="s">
        <v>33</v>
      </c>
      <c r="W29" s="13" t="n">
        <v>125</v>
      </c>
      <c r="X29" s="13" t="n">
        <v>45</v>
      </c>
      <c r="Y29" s="14" t="s">
        <v>33</v>
      </c>
      <c r="Z29" s="13" t="n">
        <v>80</v>
      </c>
      <c r="AA29" s="14" t="s">
        <v>33</v>
      </c>
      <c r="AB29" s="13" t="n">
        <v>95</v>
      </c>
      <c r="AC29" s="14" t="s">
        <v>33</v>
      </c>
      <c r="AD29" s="13" t="n">
        <v>105</v>
      </c>
      <c r="AE29" s="14" t="s">
        <v>33</v>
      </c>
      <c r="AF29" s="13" t="s">
        <v>33</v>
      </c>
      <c r="AG29" s="14" t="s">
        <v>33</v>
      </c>
      <c r="AH29" s="13" t="n">
        <v>110</v>
      </c>
      <c r="AI29" s="13" t="n">
        <v>65</v>
      </c>
      <c r="AJ29" s="14" t="s">
        <v>33</v>
      </c>
      <c r="AK29" s="13" t="n">
        <v>95</v>
      </c>
      <c r="AL29" s="14" t="s">
        <v>33</v>
      </c>
      <c r="AM29" s="13" t="n">
        <v>115</v>
      </c>
      <c r="AN29" s="14" t="s">
        <v>33</v>
      </c>
      <c r="AO29" s="13" t="n">
        <v>115</v>
      </c>
      <c r="AP29" s="14" t="s">
        <v>33</v>
      </c>
      <c r="AQ29" s="13" t="s">
        <v>33</v>
      </c>
      <c r="AR29" s="14" t="s">
        <v>33</v>
      </c>
      <c r="AS29" s="13" t="n">
        <v>120</v>
      </c>
      <c r="AT29" s="13" t="n">
        <v>70</v>
      </c>
      <c r="AU29" s="14" t="s">
        <v>33</v>
      </c>
      <c r="AV29" s="13" t="n">
        <v>115</v>
      </c>
      <c r="AW29" s="14" t="s">
        <v>33</v>
      </c>
      <c r="AX29" s="13" t="n">
        <v>130</v>
      </c>
      <c r="AY29" s="14" t="s">
        <v>33</v>
      </c>
      <c r="AZ29" s="13" t="n">
        <v>130</v>
      </c>
      <c r="BA29" s="14" t="s">
        <v>33</v>
      </c>
      <c r="BB29" s="13" t="s">
        <v>33</v>
      </c>
      <c r="BC29" s="14" t="s">
        <v>33</v>
      </c>
      <c r="BD29" s="13" t="n">
        <v>130</v>
      </c>
      <c r="BE29" s="13" t="n">
        <v>60</v>
      </c>
      <c r="BF29" s="14" t="s">
        <v>33</v>
      </c>
      <c r="BG29" s="13" t="n">
        <v>95</v>
      </c>
      <c r="BH29" s="14" t="s">
        <v>33</v>
      </c>
      <c r="BI29" s="13" t="n">
        <v>125</v>
      </c>
      <c r="BJ29" s="14" t="s">
        <v>33</v>
      </c>
      <c r="BK29" s="13" t="n">
        <v>135</v>
      </c>
      <c r="BL29" s="14" t="s">
        <v>33</v>
      </c>
      <c r="BM29" s="13" t="s">
        <v>33</v>
      </c>
      <c r="BN29" s="14" t="s">
        <v>33</v>
      </c>
      <c r="BO29" s="13" t="n">
        <v>135</v>
      </c>
    </row>
    <row r="30" customFormat="false" ht="15" hidden="false" customHeight="false" outlineLevel="0" collapsed="false">
      <c r="A30" s="1" t="s">
        <v>64</v>
      </c>
      <c r="B30" s="13" t="n">
        <v>2480</v>
      </c>
      <c r="C30" s="14" t="n">
        <v>0.327</v>
      </c>
      <c r="D30" s="13" t="n">
        <v>4085</v>
      </c>
      <c r="E30" s="14" t="n">
        <v>0.54</v>
      </c>
      <c r="F30" s="13" t="n">
        <v>5655</v>
      </c>
      <c r="G30" s="14" t="n">
        <v>0.747</v>
      </c>
      <c r="H30" s="13" t="n">
        <v>6790</v>
      </c>
      <c r="I30" s="14" t="n">
        <v>0.897</v>
      </c>
      <c r="J30" s="13" t="n">
        <v>780</v>
      </c>
      <c r="K30" s="14" t="n">
        <v>0.103</v>
      </c>
      <c r="L30" s="13" t="n">
        <v>7570</v>
      </c>
      <c r="M30" s="13" t="n">
        <v>2975</v>
      </c>
      <c r="N30" s="14" t="n">
        <v>0.401</v>
      </c>
      <c r="O30" s="13" t="n">
        <v>4545</v>
      </c>
      <c r="P30" s="14" t="n">
        <v>0.612</v>
      </c>
      <c r="Q30" s="13" t="n">
        <v>5815</v>
      </c>
      <c r="R30" s="14" t="n">
        <v>0.784</v>
      </c>
      <c r="S30" s="13" t="n">
        <v>6720</v>
      </c>
      <c r="T30" s="14" t="n">
        <v>0.905</v>
      </c>
      <c r="U30" s="13" t="n">
        <v>700</v>
      </c>
      <c r="V30" s="14" t="n">
        <v>0.095</v>
      </c>
      <c r="W30" s="13" t="n">
        <v>7425</v>
      </c>
      <c r="X30" s="13" t="n">
        <v>2820</v>
      </c>
      <c r="Y30" s="14" t="n">
        <v>0.393</v>
      </c>
      <c r="Z30" s="13" t="n">
        <v>4585</v>
      </c>
      <c r="AA30" s="14" t="n">
        <v>0.639</v>
      </c>
      <c r="AB30" s="13" t="n">
        <v>5910</v>
      </c>
      <c r="AC30" s="14" t="n">
        <v>0.824</v>
      </c>
      <c r="AD30" s="13" t="n">
        <v>6765</v>
      </c>
      <c r="AE30" s="14" t="n">
        <v>0.943</v>
      </c>
      <c r="AF30" s="13" t="n">
        <v>410</v>
      </c>
      <c r="AG30" s="14" t="n">
        <v>0.057</v>
      </c>
      <c r="AH30" s="13" t="n">
        <v>7175</v>
      </c>
      <c r="AI30" s="13" t="n">
        <v>4075</v>
      </c>
      <c r="AJ30" s="14" t="n">
        <v>0.572</v>
      </c>
      <c r="AK30" s="13" t="n">
        <v>5375</v>
      </c>
      <c r="AL30" s="14" t="n">
        <v>0.754</v>
      </c>
      <c r="AM30" s="13" t="n">
        <v>6365</v>
      </c>
      <c r="AN30" s="14" t="n">
        <v>0.893</v>
      </c>
      <c r="AO30" s="13" t="n">
        <v>6825</v>
      </c>
      <c r="AP30" s="14" t="n">
        <v>0.957</v>
      </c>
      <c r="AQ30" s="13" t="n">
        <v>305</v>
      </c>
      <c r="AR30" s="14" t="n">
        <v>0.043</v>
      </c>
      <c r="AS30" s="13" t="n">
        <v>7130</v>
      </c>
      <c r="AT30" s="13" t="n">
        <v>2635</v>
      </c>
      <c r="AU30" s="14" t="n">
        <v>0.409</v>
      </c>
      <c r="AV30" s="13" t="n">
        <v>4255</v>
      </c>
      <c r="AW30" s="14" t="n">
        <v>0.661</v>
      </c>
      <c r="AX30" s="13" t="n">
        <v>5725</v>
      </c>
      <c r="AY30" s="14" t="n">
        <v>0.889</v>
      </c>
      <c r="AZ30" s="13" t="n">
        <v>6215</v>
      </c>
      <c r="BA30" s="14" t="n">
        <v>0.965</v>
      </c>
      <c r="BB30" s="13" t="n">
        <v>225</v>
      </c>
      <c r="BC30" s="14" t="n">
        <v>0.035</v>
      </c>
      <c r="BD30" s="13" t="n">
        <v>6435</v>
      </c>
      <c r="BE30" s="13" t="n">
        <v>1885</v>
      </c>
      <c r="BF30" s="14" t="n">
        <v>0.274</v>
      </c>
      <c r="BG30" s="13" t="n">
        <v>3535</v>
      </c>
      <c r="BH30" s="14" t="n">
        <v>0.515</v>
      </c>
      <c r="BI30" s="13" t="n">
        <v>5195</v>
      </c>
      <c r="BJ30" s="14" t="n">
        <v>0.757</v>
      </c>
      <c r="BK30" s="13" t="n">
        <v>6245</v>
      </c>
      <c r="BL30" s="14" t="n">
        <v>0.909</v>
      </c>
      <c r="BM30" s="13" t="n">
        <v>625</v>
      </c>
      <c r="BN30" s="14" t="n">
        <v>0.091</v>
      </c>
      <c r="BO30" s="13" t="n">
        <v>6865</v>
      </c>
    </row>
    <row r="31" customFormat="false" ht="15" hidden="false" customHeight="false" outlineLevel="0" collapsed="false">
      <c r="A31" s="1" t="s">
        <v>37</v>
      </c>
      <c r="B31" s="13" t="n">
        <v>340</v>
      </c>
      <c r="C31" s="14" t="n">
        <v>0.614</v>
      </c>
      <c r="D31" s="13" t="n">
        <v>425</v>
      </c>
      <c r="E31" s="14" t="n">
        <v>0.772</v>
      </c>
      <c r="F31" s="13" t="n">
        <v>490</v>
      </c>
      <c r="G31" s="14" t="n">
        <v>0.888</v>
      </c>
      <c r="H31" s="13" t="n">
        <v>520</v>
      </c>
      <c r="I31" s="14" t="n">
        <v>0.942</v>
      </c>
      <c r="J31" s="13" t="n">
        <v>30</v>
      </c>
      <c r="K31" s="14" t="n">
        <v>0.058</v>
      </c>
      <c r="L31" s="13" t="n">
        <v>550</v>
      </c>
      <c r="M31" s="13" t="n">
        <v>335</v>
      </c>
      <c r="N31" s="14" t="n">
        <v>0.644</v>
      </c>
      <c r="O31" s="13" t="n">
        <v>410</v>
      </c>
      <c r="P31" s="14" t="n">
        <v>0.79</v>
      </c>
      <c r="Q31" s="13" t="n">
        <v>470</v>
      </c>
      <c r="R31" s="14" t="n">
        <v>0.906</v>
      </c>
      <c r="S31" s="13" t="n">
        <v>500</v>
      </c>
      <c r="T31" s="14" t="n">
        <v>0.962</v>
      </c>
      <c r="U31" s="13" t="n">
        <v>20</v>
      </c>
      <c r="V31" s="14" t="n">
        <v>0.038</v>
      </c>
      <c r="W31" s="13" t="n">
        <v>520</v>
      </c>
      <c r="X31" s="13" t="n">
        <v>330</v>
      </c>
      <c r="Y31" s="14" t="n">
        <v>0.657</v>
      </c>
      <c r="Z31" s="13" t="n">
        <v>400</v>
      </c>
      <c r="AA31" s="14" t="n">
        <v>0.794</v>
      </c>
      <c r="AB31" s="13" t="n">
        <v>445</v>
      </c>
      <c r="AC31" s="14" t="n">
        <v>0.883</v>
      </c>
      <c r="AD31" s="13" t="n">
        <v>480</v>
      </c>
      <c r="AE31" s="14" t="n">
        <v>0.954</v>
      </c>
      <c r="AF31" s="13" t="n">
        <v>25</v>
      </c>
      <c r="AG31" s="14" t="n">
        <v>0.046</v>
      </c>
      <c r="AH31" s="13" t="n">
        <v>505</v>
      </c>
      <c r="AI31" s="13" t="n">
        <v>510</v>
      </c>
      <c r="AJ31" s="14" t="n">
        <v>0.713</v>
      </c>
      <c r="AK31" s="13" t="n">
        <v>620</v>
      </c>
      <c r="AL31" s="14" t="n">
        <v>0.864</v>
      </c>
      <c r="AM31" s="13" t="n">
        <v>690</v>
      </c>
      <c r="AN31" s="14" t="n">
        <v>0.968</v>
      </c>
      <c r="AO31" s="13" t="n">
        <v>705</v>
      </c>
      <c r="AP31" s="14" t="n">
        <v>0.983</v>
      </c>
      <c r="AQ31" s="13" t="n">
        <v>10</v>
      </c>
      <c r="AR31" s="14" t="n">
        <v>0.017</v>
      </c>
      <c r="AS31" s="13" t="n">
        <v>715</v>
      </c>
      <c r="AT31" s="13" t="n">
        <v>550</v>
      </c>
      <c r="AU31" s="14" t="n">
        <v>0.703</v>
      </c>
      <c r="AV31" s="13" t="n">
        <v>680</v>
      </c>
      <c r="AW31" s="14" t="n">
        <v>0.872</v>
      </c>
      <c r="AX31" s="13" t="n">
        <v>760</v>
      </c>
      <c r="AY31" s="14" t="n">
        <v>0.976</v>
      </c>
      <c r="AZ31" s="13" t="n">
        <v>775</v>
      </c>
      <c r="BA31" s="14" t="n">
        <v>0.994</v>
      </c>
      <c r="BB31" s="13" t="n">
        <v>5</v>
      </c>
      <c r="BC31" s="14" t="n">
        <v>0.006</v>
      </c>
      <c r="BD31" s="13" t="n">
        <v>780</v>
      </c>
      <c r="BE31" s="13" t="n">
        <v>420</v>
      </c>
      <c r="BF31" s="14" t="n">
        <v>0.532</v>
      </c>
      <c r="BG31" s="13" t="n">
        <v>580</v>
      </c>
      <c r="BH31" s="14" t="n">
        <v>0.736</v>
      </c>
      <c r="BI31" s="13" t="n">
        <v>705</v>
      </c>
      <c r="BJ31" s="14" t="n">
        <v>0.898</v>
      </c>
      <c r="BK31" s="13" t="n">
        <v>770</v>
      </c>
      <c r="BL31" s="14" t="n">
        <v>0.976</v>
      </c>
      <c r="BM31" s="13" t="n">
        <v>20</v>
      </c>
      <c r="BN31" s="14" t="n">
        <v>0.024</v>
      </c>
      <c r="BO31" s="13" t="n">
        <v>785</v>
      </c>
    </row>
    <row r="32" customFormat="false" ht="15" hidden="false" customHeight="false" outlineLevel="0" collapsed="false">
      <c r="A32" s="1" t="s">
        <v>87</v>
      </c>
      <c r="B32" s="13" t="n">
        <v>505</v>
      </c>
      <c r="C32" s="14" t="n">
        <v>0.159</v>
      </c>
      <c r="D32" s="13" t="n">
        <v>1315</v>
      </c>
      <c r="E32" s="14" t="n">
        <v>0.415</v>
      </c>
      <c r="F32" s="13" t="n">
        <v>2225</v>
      </c>
      <c r="G32" s="14" t="n">
        <v>0.701</v>
      </c>
      <c r="H32" s="13" t="n">
        <v>2860</v>
      </c>
      <c r="I32" s="14" t="n">
        <v>0.902</v>
      </c>
      <c r="J32" s="13" t="n">
        <v>310</v>
      </c>
      <c r="K32" s="14" t="n">
        <v>0.098</v>
      </c>
      <c r="L32" s="13" t="n">
        <v>3170</v>
      </c>
      <c r="M32" s="13" t="n">
        <v>470</v>
      </c>
      <c r="N32" s="14" t="n">
        <v>0.153</v>
      </c>
      <c r="O32" s="13" t="n">
        <v>1335</v>
      </c>
      <c r="P32" s="14" t="n">
        <v>0.432</v>
      </c>
      <c r="Q32" s="13" t="n">
        <v>2285</v>
      </c>
      <c r="R32" s="14" t="n">
        <v>0.74</v>
      </c>
      <c r="S32" s="13" t="n">
        <v>2875</v>
      </c>
      <c r="T32" s="14" t="n">
        <v>0.932</v>
      </c>
      <c r="U32" s="13" t="n">
        <v>210</v>
      </c>
      <c r="V32" s="14" t="n">
        <v>0.068</v>
      </c>
      <c r="W32" s="13" t="n">
        <v>3085</v>
      </c>
      <c r="X32" s="13" t="n">
        <v>620</v>
      </c>
      <c r="Y32" s="14" t="n">
        <v>0.196</v>
      </c>
      <c r="Z32" s="13" t="n">
        <v>1520</v>
      </c>
      <c r="AA32" s="14" t="n">
        <v>0.48</v>
      </c>
      <c r="AB32" s="13" t="n">
        <v>2370</v>
      </c>
      <c r="AC32" s="14" t="n">
        <v>0.748</v>
      </c>
      <c r="AD32" s="13" t="n">
        <v>2915</v>
      </c>
      <c r="AE32" s="14" t="n">
        <v>0.92</v>
      </c>
      <c r="AF32" s="13" t="n">
        <v>250</v>
      </c>
      <c r="AG32" s="14" t="n">
        <v>0.08</v>
      </c>
      <c r="AH32" s="13" t="n">
        <v>3170</v>
      </c>
      <c r="AI32" s="13" t="n">
        <v>1475</v>
      </c>
      <c r="AJ32" s="14" t="n">
        <v>0.439</v>
      </c>
      <c r="AK32" s="13" t="n">
        <v>2390</v>
      </c>
      <c r="AL32" s="14" t="n">
        <v>0.712</v>
      </c>
      <c r="AM32" s="13" t="n">
        <v>3065</v>
      </c>
      <c r="AN32" s="14" t="n">
        <v>0.913</v>
      </c>
      <c r="AO32" s="13" t="n">
        <v>3265</v>
      </c>
      <c r="AP32" s="14" t="n">
        <v>0.972</v>
      </c>
      <c r="AQ32" s="13" t="n">
        <v>95</v>
      </c>
      <c r="AR32" s="14" t="n">
        <v>0.028</v>
      </c>
      <c r="AS32" s="13" t="n">
        <v>3360</v>
      </c>
      <c r="AT32" s="13" t="n">
        <v>1265</v>
      </c>
      <c r="AU32" s="14" t="n">
        <v>0.383</v>
      </c>
      <c r="AV32" s="13" t="n">
        <v>2365</v>
      </c>
      <c r="AW32" s="14" t="n">
        <v>0.717</v>
      </c>
      <c r="AX32" s="13" t="n">
        <v>3110</v>
      </c>
      <c r="AY32" s="14" t="n">
        <v>0.943</v>
      </c>
      <c r="AZ32" s="13" t="n">
        <v>3265</v>
      </c>
      <c r="BA32" s="14" t="n">
        <v>0.989</v>
      </c>
      <c r="BB32" s="13" t="n">
        <v>35</v>
      </c>
      <c r="BC32" s="14" t="n">
        <v>0.011</v>
      </c>
      <c r="BD32" s="13" t="n">
        <v>3300</v>
      </c>
      <c r="BE32" s="13" t="n">
        <v>630</v>
      </c>
      <c r="BF32" s="14" t="n">
        <v>0.18</v>
      </c>
      <c r="BG32" s="13" t="n">
        <v>1600</v>
      </c>
      <c r="BH32" s="14" t="n">
        <v>0.457</v>
      </c>
      <c r="BI32" s="13" t="n">
        <v>2610</v>
      </c>
      <c r="BJ32" s="14" t="n">
        <v>0.746</v>
      </c>
      <c r="BK32" s="13" t="n">
        <v>3190</v>
      </c>
      <c r="BL32" s="14" t="n">
        <v>0.912</v>
      </c>
      <c r="BM32" s="13" t="n">
        <v>310</v>
      </c>
      <c r="BN32" s="14" t="n">
        <v>0.088</v>
      </c>
      <c r="BO32" s="13" t="n">
        <v>3495</v>
      </c>
    </row>
    <row r="33" customFormat="false" ht="15" hidden="false" customHeight="false" outlineLevel="0" collapsed="false">
      <c r="A33" s="1" t="s">
        <v>65</v>
      </c>
      <c r="B33" s="13" t="n">
        <v>275</v>
      </c>
      <c r="C33" s="14" t="n">
        <v>0.198</v>
      </c>
      <c r="D33" s="13" t="n">
        <v>590</v>
      </c>
      <c r="E33" s="14" t="n">
        <v>0.427</v>
      </c>
      <c r="F33" s="13" t="n">
        <v>915</v>
      </c>
      <c r="G33" s="14" t="n">
        <v>0.66</v>
      </c>
      <c r="H33" s="13" t="n">
        <v>1155</v>
      </c>
      <c r="I33" s="14" t="n">
        <v>0.833</v>
      </c>
      <c r="J33" s="13" t="n">
        <v>230</v>
      </c>
      <c r="K33" s="14" t="n">
        <v>0.167</v>
      </c>
      <c r="L33" s="13" t="n">
        <v>1385</v>
      </c>
      <c r="M33" s="13" t="n">
        <v>170</v>
      </c>
      <c r="N33" s="14" t="n">
        <v>0.122</v>
      </c>
      <c r="O33" s="13" t="n">
        <v>485</v>
      </c>
      <c r="P33" s="14" t="n">
        <v>0.348</v>
      </c>
      <c r="Q33" s="13" t="n">
        <v>865</v>
      </c>
      <c r="R33" s="14" t="n">
        <v>0.621</v>
      </c>
      <c r="S33" s="13" t="n">
        <v>1170</v>
      </c>
      <c r="T33" s="14" t="n">
        <v>0.844</v>
      </c>
      <c r="U33" s="13" t="n">
        <v>215</v>
      </c>
      <c r="V33" s="14" t="n">
        <v>0.156</v>
      </c>
      <c r="W33" s="13" t="n">
        <v>1390</v>
      </c>
      <c r="X33" s="13" t="n">
        <v>205</v>
      </c>
      <c r="Y33" s="14" t="n">
        <v>0.166</v>
      </c>
      <c r="Z33" s="13" t="n">
        <v>510</v>
      </c>
      <c r="AA33" s="14" t="n">
        <v>0.409</v>
      </c>
      <c r="AB33" s="13" t="n">
        <v>845</v>
      </c>
      <c r="AC33" s="14" t="n">
        <v>0.677</v>
      </c>
      <c r="AD33" s="13" t="n">
        <v>1085</v>
      </c>
      <c r="AE33" s="14" t="n">
        <v>0.868</v>
      </c>
      <c r="AF33" s="13" t="n">
        <v>165</v>
      </c>
      <c r="AG33" s="14" t="n">
        <v>0.132</v>
      </c>
      <c r="AH33" s="13" t="n">
        <v>1245</v>
      </c>
      <c r="AI33" s="13" t="n">
        <v>670</v>
      </c>
      <c r="AJ33" s="14" t="n">
        <v>0.465</v>
      </c>
      <c r="AK33" s="13" t="n">
        <v>1020</v>
      </c>
      <c r="AL33" s="14" t="n">
        <v>0.71</v>
      </c>
      <c r="AM33" s="13" t="n">
        <v>1285</v>
      </c>
      <c r="AN33" s="14" t="n">
        <v>0.893</v>
      </c>
      <c r="AO33" s="13" t="n">
        <v>1380</v>
      </c>
      <c r="AP33" s="14" t="n">
        <v>0.96</v>
      </c>
      <c r="AQ33" s="13" t="n">
        <v>60</v>
      </c>
      <c r="AR33" s="14" t="n">
        <v>0.04</v>
      </c>
      <c r="AS33" s="13" t="n">
        <v>1435</v>
      </c>
      <c r="AT33" s="13" t="n">
        <v>350</v>
      </c>
      <c r="AU33" s="14" t="n">
        <v>0.313</v>
      </c>
      <c r="AV33" s="13" t="n">
        <v>730</v>
      </c>
      <c r="AW33" s="14" t="n">
        <v>0.655</v>
      </c>
      <c r="AX33" s="13" t="n">
        <v>1020</v>
      </c>
      <c r="AY33" s="14" t="n">
        <v>0.918</v>
      </c>
      <c r="AZ33" s="13" t="n">
        <v>1090</v>
      </c>
      <c r="BA33" s="14" t="n">
        <v>0.978</v>
      </c>
      <c r="BB33" s="13" t="n">
        <v>25</v>
      </c>
      <c r="BC33" s="14" t="n">
        <v>0.022</v>
      </c>
      <c r="BD33" s="13" t="n">
        <v>1110</v>
      </c>
      <c r="BE33" s="13" t="n">
        <v>125</v>
      </c>
      <c r="BF33" s="14" t="n">
        <v>0.107</v>
      </c>
      <c r="BG33" s="13" t="n">
        <v>385</v>
      </c>
      <c r="BH33" s="14" t="n">
        <v>0.324</v>
      </c>
      <c r="BI33" s="13" t="n">
        <v>715</v>
      </c>
      <c r="BJ33" s="14" t="n">
        <v>0.601</v>
      </c>
      <c r="BK33" s="13" t="n">
        <v>985</v>
      </c>
      <c r="BL33" s="14" t="n">
        <v>0.826</v>
      </c>
      <c r="BM33" s="13" t="n">
        <v>205</v>
      </c>
      <c r="BN33" s="14" t="n">
        <v>0.174</v>
      </c>
      <c r="BO33" s="13" t="n">
        <v>1190</v>
      </c>
    </row>
    <row r="34" customFormat="false" ht="15" hidden="false" customHeight="false" outlineLevel="0" collapsed="false">
      <c r="A34" s="1" t="s">
        <v>66</v>
      </c>
      <c r="B34" s="13" t="n">
        <v>2420</v>
      </c>
      <c r="C34" s="14" t="n">
        <v>0.236</v>
      </c>
      <c r="D34" s="13" t="n">
        <v>4725</v>
      </c>
      <c r="E34" s="14" t="n">
        <v>0.46</v>
      </c>
      <c r="F34" s="13" t="n">
        <v>6740</v>
      </c>
      <c r="G34" s="14" t="n">
        <v>0.657</v>
      </c>
      <c r="H34" s="13" t="n">
        <v>8295</v>
      </c>
      <c r="I34" s="14" t="n">
        <v>0.808</v>
      </c>
      <c r="J34" s="13" t="n">
        <v>1965</v>
      </c>
      <c r="K34" s="14" t="n">
        <v>0.192</v>
      </c>
      <c r="L34" s="13" t="n">
        <v>10260</v>
      </c>
      <c r="M34" s="13" t="n">
        <v>3670</v>
      </c>
      <c r="N34" s="14" t="n">
        <v>0.363</v>
      </c>
      <c r="O34" s="13" t="n">
        <v>6265</v>
      </c>
      <c r="P34" s="14" t="n">
        <v>0.619</v>
      </c>
      <c r="Q34" s="13" t="n">
        <v>7965</v>
      </c>
      <c r="R34" s="14" t="n">
        <v>0.787</v>
      </c>
      <c r="S34" s="13" t="n">
        <v>9000</v>
      </c>
      <c r="T34" s="14" t="n">
        <v>0.89</v>
      </c>
      <c r="U34" s="13" t="n">
        <v>1115</v>
      </c>
      <c r="V34" s="14" t="n">
        <v>0.11</v>
      </c>
      <c r="W34" s="13" t="n">
        <v>10115</v>
      </c>
      <c r="X34" s="13" t="n">
        <v>3520</v>
      </c>
      <c r="Y34" s="14" t="n">
        <v>0.357</v>
      </c>
      <c r="Z34" s="13" t="n">
        <v>6015</v>
      </c>
      <c r="AA34" s="14" t="n">
        <v>0.61</v>
      </c>
      <c r="AB34" s="13" t="n">
        <v>7705</v>
      </c>
      <c r="AC34" s="14" t="n">
        <v>0.781</v>
      </c>
      <c r="AD34" s="13" t="n">
        <v>8830</v>
      </c>
      <c r="AE34" s="14" t="n">
        <v>0.895</v>
      </c>
      <c r="AF34" s="13" t="n">
        <v>1035</v>
      </c>
      <c r="AG34" s="14" t="n">
        <v>0.105</v>
      </c>
      <c r="AH34" s="13" t="n">
        <v>9865</v>
      </c>
      <c r="AI34" s="13" t="n">
        <v>5385</v>
      </c>
      <c r="AJ34" s="14" t="n">
        <v>0.511</v>
      </c>
      <c r="AK34" s="13" t="n">
        <v>7615</v>
      </c>
      <c r="AL34" s="14" t="n">
        <v>0.723</v>
      </c>
      <c r="AM34" s="13" t="n">
        <v>9370</v>
      </c>
      <c r="AN34" s="14" t="n">
        <v>0.889</v>
      </c>
      <c r="AO34" s="13" t="n">
        <v>10020</v>
      </c>
      <c r="AP34" s="14" t="n">
        <v>0.951</v>
      </c>
      <c r="AQ34" s="13" t="n">
        <v>515</v>
      </c>
      <c r="AR34" s="14" t="n">
        <v>0.049</v>
      </c>
      <c r="AS34" s="13" t="n">
        <v>10540</v>
      </c>
      <c r="AT34" s="13" t="n">
        <v>4125</v>
      </c>
      <c r="AU34" s="14" t="n">
        <v>0.416</v>
      </c>
      <c r="AV34" s="13" t="n">
        <v>6875</v>
      </c>
      <c r="AW34" s="14" t="n">
        <v>0.693</v>
      </c>
      <c r="AX34" s="13" t="n">
        <v>9000</v>
      </c>
      <c r="AY34" s="14" t="n">
        <v>0.907</v>
      </c>
      <c r="AZ34" s="13" t="n">
        <v>9605</v>
      </c>
      <c r="BA34" s="14" t="n">
        <v>0.968</v>
      </c>
      <c r="BB34" s="13" t="n">
        <v>315</v>
      </c>
      <c r="BC34" s="14" t="n">
        <v>0.032</v>
      </c>
      <c r="BD34" s="13" t="n">
        <v>9920</v>
      </c>
      <c r="BE34" s="13" t="n">
        <v>2835</v>
      </c>
      <c r="BF34" s="14" t="n">
        <v>0.284</v>
      </c>
      <c r="BG34" s="13" t="n">
        <v>5270</v>
      </c>
      <c r="BH34" s="14" t="n">
        <v>0.528</v>
      </c>
      <c r="BI34" s="13" t="n">
        <v>7265</v>
      </c>
      <c r="BJ34" s="14" t="n">
        <v>0.728</v>
      </c>
      <c r="BK34" s="13" t="n">
        <v>8615</v>
      </c>
      <c r="BL34" s="14" t="n">
        <v>0.863</v>
      </c>
      <c r="BM34" s="13" t="n">
        <v>1370</v>
      </c>
      <c r="BN34" s="14" t="n">
        <v>0.137</v>
      </c>
      <c r="BO34" s="13" t="n">
        <v>9985</v>
      </c>
    </row>
    <row r="35" customFormat="false" ht="15" hidden="false" customHeight="false" outlineLevel="0" collapsed="false">
      <c r="A35" s="1" t="s">
        <v>168</v>
      </c>
      <c r="B35" s="13" t="n">
        <v>1735</v>
      </c>
      <c r="C35" s="14" t="n">
        <v>0.233</v>
      </c>
      <c r="D35" s="13" t="n">
        <v>3180</v>
      </c>
      <c r="E35" s="14" t="n">
        <v>0.427</v>
      </c>
      <c r="F35" s="13" t="n">
        <v>4805</v>
      </c>
      <c r="G35" s="14" t="n">
        <v>0.645</v>
      </c>
      <c r="H35" s="13" t="n">
        <v>6310</v>
      </c>
      <c r="I35" s="14" t="n">
        <v>0.847</v>
      </c>
      <c r="J35" s="13" t="n">
        <v>1140</v>
      </c>
      <c r="K35" s="14" t="n">
        <v>0.153</v>
      </c>
      <c r="L35" s="13" t="n">
        <v>7450</v>
      </c>
      <c r="M35" s="13" t="n">
        <v>2085</v>
      </c>
      <c r="N35" s="14" t="n">
        <v>0.296</v>
      </c>
      <c r="O35" s="13" t="n">
        <v>3550</v>
      </c>
      <c r="P35" s="14" t="n">
        <v>0.505</v>
      </c>
      <c r="Q35" s="13" t="n">
        <v>4995</v>
      </c>
      <c r="R35" s="14" t="n">
        <v>0.71</v>
      </c>
      <c r="S35" s="13" t="n">
        <v>6135</v>
      </c>
      <c r="T35" s="14" t="n">
        <v>0.872</v>
      </c>
      <c r="U35" s="13" t="n">
        <v>900</v>
      </c>
      <c r="V35" s="14" t="n">
        <v>0.128</v>
      </c>
      <c r="W35" s="13" t="n">
        <v>7035</v>
      </c>
      <c r="X35" s="13" t="n">
        <v>1985</v>
      </c>
      <c r="Y35" s="14" t="n">
        <v>0.283</v>
      </c>
      <c r="Z35" s="13" t="n">
        <v>3555</v>
      </c>
      <c r="AA35" s="14" t="n">
        <v>0.508</v>
      </c>
      <c r="AB35" s="13" t="n">
        <v>5060</v>
      </c>
      <c r="AC35" s="14" t="n">
        <v>0.722</v>
      </c>
      <c r="AD35" s="13" t="n">
        <v>6215</v>
      </c>
      <c r="AE35" s="14" t="n">
        <v>0.887</v>
      </c>
      <c r="AF35" s="13" t="n">
        <v>795</v>
      </c>
      <c r="AG35" s="14" t="n">
        <v>0.113</v>
      </c>
      <c r="AH35" s="13" t="n">
        <v>7010</v>
      </c>
      <c r="AI35" s="13" t="n">
        <v>2470</v>
      </c>
      <c r="AJ35" s="14" t="n">
        <v>0.327</v>
      </c>
      <c r="AK35" s="13" t="n">
        <v>4075</v>
      </c>
      <c r="AL35" s="14" t="n">
        <v>0.54</v>
      </c>
      <c r="AM35" s="13" t="n">
        <v>5780</v>
      </c>
      <c r="AN35" s="14" t="n">
        <v>0.766</v>
      </c>
      <c r="AO35" s="13" t="n">
        <v>6705</v>
      </c>
      <c r="AP35" s="14" t="n">
        <v>0.888</v>
      </c>
      <c r="AQ35" s="13" t="n">
        <v>845</v>
      </c>
      <c r="AR35" s="14" t="n">
        <v>0.112</v>
      </c>
      <c r="AS35" s="13" t="n">
        <v>7550</v>
      </c>
      <c r="AT35" s="13" t="n">
        <v>2245</v>
      </c>
      <c r="AU35" s="14" t="n">
        <v>0.322</v>
      </c>
      <c r="AV35" s="13" t="n">
        <v>4035</v>
      </c>
      <c r="AW35" s="14" t="n">
        <v>0.579</v>
      </c>
      <c r="AX35" s="13" t="n">
        <v>5870</v>
      </c>
      <c r="AY35" s="14" t="n">
        <v>0.842</v>
      </c>
      <c r="AZ35" s="13" t="n">
        <v>6575</v>
      </c>
      <c r="BA35" s="14" t="n">
        <v>0.943</v>
      </c>
      <c r="BB35" s="13" t="n">
        <v>395</v>
      </c>
      <c r="BC35" s="14" t="n">
        <v>0.057</v>
      </c>
      <c r="BD35" s="13" t="n">
        <v>6970</v>
      </c>
      <c r="BE35" s="13" t="n">
        <v>1545</v>
      </c>
      <c r="BF35" s="14" t="n">
        <v>0.247</v>
      </c>
      <c r="BG35" s="13" t="n">
        <v>2855</v>
      </c>
      <c r="BH35" s="14" t="n">
        <v>0.456</v>
      </c>
      <c r="BI35" s="13" t="n">
        <v>4345</v>
      </c>
      <c r="BJ35" s="14" t="n">
        <v>0.694</v>
      </c>
      <c r="BK35" s="13" t="n">
        <v>5555</v>
      </c>
      <c r="BL35" s="14" t="n">
        <v>0.888</v>
      </c>
      <c r="BM35" s="13" t="n">
        <v>705</v>
      </c>
      <c r="BN35" s="14" t="n">
        <v>0.112</v>
      </c>
      <c r="BO35" s="13" t="n">
        <v>6260</v>
      </c>
    </row>
    <row r="36" customFormat="false" ht="15" hidden="false" customHeight="false" outlineLevel="0" collapsed="false">
      <c r="A36" s="1" t="s">
        <v>39</v>
      </c>
      <c r="B36" s="13" t="n">
        <v>135</v>
      </c>
      <c r="C36" s="14" t="n">
        <v>0.725</v>
      </c>
      <c r="D36" s="13" t="n">
        <v>155</v>
      </c>
      <c r="E36" s="14" t="n">
        <v>0.825</v>
      </c>
      <c r="F36" s="13" t="n">
        <v>175</v>
      </c>
      <c r="G36" s="14" t="n">
        <v>0.915</v>
      </c>
      <c r="H36" s="13" t="n">
        <v>180</v>
      </c>
      <c r="I36" s="14" t="n">
        <v>0.958</v>
      </c>
      <c r="J36" s="13" t="n">
        <v>10</v>
      </c>
      <c r="K36" s="14" t="n">
        <v>0.042</v>
      </c>
      <c r="L36" s="13" t="n">
        <v>190</v>
      </c>
      <c r="M36" s="13" t="n">
        <v>175</v>
      </c>
      <c r="N36" s="14" t="n">
        <v>0.806</v>
      </c>
      <c r="O36" s="13" t="n">
        <v>190</v>
      </c>
      <c r="P36" s="14" t="n">
        <v>0.871</v>
      </c>
      <c r="Q36" s="13" t="n">
        <v>195</v>
      </c>
      <c r="R36" s="14" t="n">
        <v>0.908</v>
      </c>
      <c r="S36" s="13" t="n">
        <v>205</v>
      </c>
      <c r="T36" s="14" t="n">
        <v>0.949</v>
      </c>
      <c r="U36" s="13" t="n">
        <v>10</v>
      </c>
      <c r="V36" s="14" t="n">
        <v>0.051</v>
      </c>
      <c r="W36" s="13" t="n">
        <v>215</v>
      </c>
      <c r="X36" s="13" t="n">
        <v>125</v>
      </c>
      <c r="Y36" s="14" t="n">
        <v>0.724</v>
      </c>
      <c r="Z36" s="13" t="n">
        <v>145</v>
      </c>
      <c r="AA36" s="14" t="n">
        <v>0.859</v>
      </c>
      <c r="AB36" s="13" t="n">
        <v>160</v>
      </c>
      <c r="AC36" s="14" t="n">
        <v>0.929</v>
      </c>
      <c r="AD36" s="13" t="n">
        <v>165</v>
      </c>
      <c r="AE36" s="14" t="n">
        <v>0.971</v>
      </c>
      <c r="AF36" s="13" t="n">
        <v>5</v>
      </c>
      <c r="AG36" s="14" t="n">
        <v>0.029</v>
      </c>
      <c r="AH36" s="13" t="n">
        <v>170</v>
      </c>
      <c r="AI36" s="13" t="n">
        <v>145</v>
      </c>
      <c r="AJ36" s="14" t="n">
        <v>0.811</v>
      </c>
      <c r="AK36" s="13" t="n">
        <v>165</v>
      </c>
      <c r="AL36" s="14" t="n">
        <v>0.906</v>
      </c>
      <c r="AM36" s="13" t="n">
        <v>170</v>
      </c>
      <c r="AN36" s="14" t="n">
        <v>0.95</v>
      </c>
      <c r="AO36" s="13" t="n">
        <v>175</v>
      </c>
      <c r="AP36" s="14" t="n">
        <v>0.967</v>
      </c>
      <c r="AQ36" s="13" t="n">
        <v>5</v>
      </c>
      <c r="AR36" s="14" t="n">
        <v>0.033</v>
      </c>
      <c r="AS36" s="13" t="n">
        <v>180</v>
      </c>
      <c r="AT36" s="13" t="n">
        <v>195</v>
      </c>
      <c r="AU36" s="14" t="n">
        <v>0.806</v>
      </c>
      <c r="AV36" s="13" t="n">
        <v>230</v>
      </c>
      <c r="AW36" s="14" t="n">
        <v>0.95</v>
      </c>
      <c r="AX36" s="13" t="n">
        <v>240</v>
      </c>
      <c r="AY36" s="14" t="n">
        <v>1</v>
      </c>
      <c r="AZ36" s="13" t="n">
        <v>240</v>
      </c>
      <c r="BA36" s="14" t="n">
        <v>1</v>
      </c>
      <c r="BB36" s="13" t="n">
        <v>0</v>
      </c>
      <c r="BC36" s="14" t="n">
        <v>0</v>
      </c>
      <c r="BD36" s="13" t="n">
        <v>240</v>
      </c>
      <c r="BE36" s="13" t="n">
        <v>145</v>
      </c>
      <c r="BF36" s="14" t="n">
        <v>0.665</v>
      </c>
      <c r="BG36" s="13" t="n">
        <v>180</v>
      </c>
      <c r="BH36" s="14" t="n">
        <v>0.824</v>
      </c>
      <c r="BI36" s="13" t="n">
        <v>195</v>
      </c>
      <c r="BJ36" s="14" t="n">
        <v>0.891</v>
      </c>
      <c r="BK36" s="13" t="n">
        <v>215</v>
      </c>
      <c r="BL36" s="14" t="n">
        <v>0.964</v>
      </c>
      <c r="BM36" s="13" t="n">
        <v>10</v>
      </c>
      <c r="BN36" s="14" t="n">
        <v>0.036</v>
      </c>
      <c r="BO36" s="13" t="n">
        <v>220</v>
      </c>
    </row>
    <row r="37" customFormat="false" ht="15" hidden="false" customHeight="false" outlineLevel="0" collapsed="false">
      <c r="A37" s="1" t="s">
        <v>67</v>
      </c>
      <c r="B37" s="13" t="n">
        <v>90</v>
      </c>
      <c r="C37" s="14" t="n">
        <v>0.616</v>
      </c>
      <c r="D37" s="13" t="n">
        <v>115</v>
      </c>
      <c r="E37" s="14" t="n">
        <v>0.795</v>
      </c>
      <c r="F37" s="13" t="n">
        <v>130</v>
      </c>
      <c r="G37" s="14" t="n">
        <v>0.904</v>
      </c>
      <c r="H37" s="13" t="n">
        <v>140</v>
      </c>
      <c r="I37" s="14" t="n">
        <v>0.959</v>
      </c>
      <c r="J37" s="13" t="n">
        <v>5</v>
      </c>
      <c r="K37" s="14" t="n">
        <v>0.041</v>
      </c>
      <c r="L37" s="13" t="n">
        <v>145</v>
      </c>
      <c r="M37" s="13" t="n">
        <v>195</v>
      </c>
      <c r="N37" s="14" t="n">
        <v>0.912</v>
      </c>
      <c r="O37" s="13" t="n">
        <v>205</v>
      </c>
      <c r="P37" s="14" t="n">
        <v>0.953</v>
      </c>
      <c r="Q37" s="13" t="n">
        <v>210</v>
      </c>
      <c r="R37" s="14" t="n">
        <v>0.967</v>
      </c>
      <c r="S37" s="13" t="n">
        <v>210</v>
      </c>
      <c r="T37" s="14" t="n">
        <v>0.977</v>
      </c>
      <c r="U37" s="13" t="n">
        <v>5</v>
      </c>
      <c r="V37" s="14" t="n">
        <v>0.023</v>
      </c>
      <c r="W37" s="13" t="n">
        <v>215</v>
      </c>
      <c r="X37" s="13" t="n">
        <v>160</v>
      </c>
      <c r="Y37" s="14" t="n">
        <v>0.7</v>
      </c>
      <c r="Z37" s="13" t="n">
        <v>195</v>
      </c>
      <c r="AA37" s="14" t="n">
        <v>0.843</v>
      </c>
      <c r="AB37" s="13" t="n">
        <v>210</v>
      </c>
      <c r="AC37" s="14" t="n">
        <v>0.922</v>
      </c>
      <c r="AD37" s="13" t="n">
        <v>220</v>
      </c>
      <c r="AE37" s="14" t="n">
        <v>0.957</v>
      </c>
      <c r="AF37" s="13" t="n">
        <v>10</v>
      </c>
      <c r="AG37" s="14" t="n">
        <v>0.043</v>
      </c>
      <c r="AH37" s="13" t="n">
        <v>230</v>
      </c>
      <c r="AI37" s="13" t="n">
        <v>215</v>
      </c>
      <c r="AJ37" s="14" t="n">
        <v>0.863</v>
      </c>
      <c r="AK37" s="13" t="n">
        <v>235</v>
      </c>
      <c r="AL37" s="14" t="n">
        <v>0.948</v>
      </c>
      <c r="AM37" s="13" t="n">
        <v>245</v>
      </c>
      <c r="AN37" s="14" t="n">
        <v>0.992</v>
      </c>
      <c r="AO37" s="13" t="n">
        <v>250</v>
      </c>
      <c r="AP37" s="14" t="n">
        <v>1</v>
      </c>
      <c r="AQ37" s="13" t="n">
        <v>0</v>
      </c>
      <c r="AR37" s="14" t="n">
        <v>0</v>
      </c>
      <c r="AS37" s="13" t="n">
        <v>250</v>
      </c>
      <c r="AT37" s="13" t="n">
        <v>190</v>
      </c>
      <c r="AU37" s="14" t="s">
        <v>33</v>
      </c>
      <c r="AV37" s="13" t="n">
        <v>235</v>
      </c>
      <c r="AW37" s="14" t="s">
        <v>33</v>
      </c>
      <c r="AX37" s="13" t="n">
        <v>255</v>
      </c>
      <c r="AY37" s="14" t="s">
        <v>33</v>
      </c>
      <c r="AZ37" s="13" t="n">
        <v>265</v>
      </c>
      <c r="BA37" s="14" t="s">
        <v>33</v>
      </c>
      <c r="BB37" s="13" t="s">
        <v>33</v>
      </c>
      <c r="BC37" s="14" t="s">
        <v>33</v>
      </c>
      <c r="BD37" s="13" t="n">
        <v>265</v>
      </c>
      <c r="BE37" s="13" t="n">
        <v>165</v>
      </c>
      <c r="BF37" s="14" t="n">
        <v>0.656</v>
      </c>
      <c r="BG37" s="13" t="n">
        <v>205</v>
      </c>
      <c r="BH37" s="14" t="n">
        <v>0.814</v>
      </c>
      <c r="BI37" s="13" t="n">
        <v>235</v>
      </c>
      <c r="BJ37" s="14" t="n">
        <v>0.921</v>
      </c>
      <c r="BK37" s="13" t="n">
        <v>245</v>
      </c>
      <c r="BL37" s="14" t="n">
        <v>0.968</v>
      </c>
      <c r="BM37" s="13" t="n">
        <v>10</v>
      </c>
      <c r="BN37" s="14" t="n">
        <v>0.032</v>
      </c>
      <c r="BO37" s="13" t="n">
        <v>255</v>
      </c>
    </row>
    <row r="38" customFormat="false" ht="15" hidden="false" customHeight="false" outlineLevel="0" collapsed="false">
      <c r="A38" s="1" t="s">
        <v>68</v>
      </c>
      <c r="B38" s="13" t="n">
        <v>170</v>
      </c>
      <c r="C38" s="14" t="n">
        <v>0.765</v>
      </c>
      <c r="D38" s="13" t="n">
        <v>190</v>
      </c>
      <c r="E38" s="14" t="n">
        <v>0.86</v>
      </c>
      <c r="F38" s="13" t="n">
        <v>210</v>
      </c>
      <c r="G38" s="14" t="n">
        <v>0.95</v>
      </c>
      <c r="H38" s="13" t="n">
        <v>215</v>
      </c>
      <c r="I38" s="14" t="n">
        <v>0.973</v>
      </c>
      <c r="J38" s="13" t="n">
        <v>5</v>
      </c>
      <c r="K38" s="14" t="n">
        <v>0.027</v>
      </c>
      <c r="L38" s="13" t="n">
        <v>220</v>
      </c>
      <c r="M38" s="13" t="n">
        <v>140</v>
      </c>
      <c r="N38" s="14" t="n">
        <v>0.755</v>
      </c>
      <c r="O38" s="13" t="n">
        <v>160</v>
      </c>
      <c r="P38" s="14" t="n">
        <v>0.851</v>
      </c>
      <c r="Q38" s="13" t="n">
        <v>175</v>
      </c>
      <c r="R38" s="14" t="n">
        <v>0.936</v>
      </c>
      <c r="S38" s="13" t="n">
        <v>185</v>
      </c>
      <c r="T38" s="14" t="n">
        <v>0.973</v>
      </c>
      <c r="U38" s="13" t="n">
        <v>5</v>
      </c>
      <c r="V38" s="14" t="n">
        <v>0.027</v>
      </c>
      <c r="W38" s="13" t="n">
        <v>190</v>
      </c>
      <c r="X38" s="13" t="n">
        <v>155</v>
      </c>
      <c r="Y38" s="14" t="n">
        <v>0.817</v>
      </c>
      <c r="Z38" s="13" t="n">
        <v>165</v>
      </c>
      <c r="AA38" s="14" t="n">
        <v>0.874</v>
      </c>
      <c r="AB38" s="13" t="n">
        <v>175</v>
      </c>
      <c r="AC38" s="14" t="n">
        <v>0.921</v>
      </c>
      <c r="AD38" s="13" t="n">
        <v>185</v>
      </c>
      <c r="AE38" s="14" t="n">
        <v>0.958</v>
      </c>
      <c r="AF38" s="13" t="n">
        <v>10</v>
      </c>
      <c r="AG38" s="14" t="n">
        <v>0.042</v>
      </c>
      <c r="AH38" s="13" t="n">
        <v>190</v>
      </c>
      <c r="AI38" s="13" t="n">
        <v>140</v>
      </c>
      <c r="AJ38" s="14" t="n">
        <v>0.916</v>
      </c>
      <c r="AK38" s="13" t="n">
        <v>150</v>
      </c>
      <c r="AL38" s="14" t="n">
        <v>0.961</v>
      </c>
      <c r="AM38" s="13" t="n">
        <v>150</v>
      </c>
      <c r="AN38" s="14" t="n">
        <v>0.981</v>
      </c>
      <c r="AO38" s="13" t="n">
        <v>155</v>
      </c>
      <c r="AP38" s="14" t="n">
        <v>1</v>
      </c>
      <c r="AQ38" s="13" t="n">
        <v>0</v>
      </c>
      <c r="AR38" s="14" t="n">
        <v>0</v>
      </c>
      <c r="AS38" s="13" t="n">
        <v>155</v>
      </c>
      <c r="AT38" s="13" t="n">
        <v>110</v>
      </c>
      <c r="AU38" s="14" t="n">
        <v>0.842</v>
      </c>
      <c r="AV38" s="13" t="n">
        <v>125</v>
      </c>
      <c r="AW38" s="14" t="n">
        <v>0.932</v>
      </c>
      <c r="AX38" s="13" t="n">
        <v>135</v>
      </c>
      <c r="AY38" s="14" t="n">
        <v>1</v>
      </c>
      <c r="AZ38" s="13" t="n">
        <v>135</v>
      </c>
      <c r="BA38" s="14" t="n">
        <v>1</v>
      </c>
      <c r="BB38" s="13" t="n">
        <v>0</v>
      </c>
      <c r="BC38" s="14" t="n">
        <v>0</v>
      </c>
      <c r="BD38" s="13" t="n">
        <v>135</v>
      </c>
      <c r="BE38" s="13" t="n">
        <v>125</v>
      </c>
      <c r="BF38" s="14" t="s">
        <v>33</v>
      </c>
      <c r="BG38" s="13" t="n">
        <v>140</v>
      </c>
      <c r="BH38" s="14" t="s">
        <v>33</v>
      </c>
      <c r="BI38" s="13" t="n">
        <v>145</v>
      </c>
      <c r="BJ38" s="14" t="s">
        <v>33</v>
      </c>
      <c r="BK38" s="13" t="n">
        <v>150</v>
      </c>
      <c r="BL38" s="14" t="s">
        <v>33</v>
      </c>
      <c r="BM38" s="13" t="s">
        <v>33</v>
      </c>
      <c r="BN38" s="14" t="s">
        <v>33</v>
      </c>
      <c r="BO38" s="13" t="n">
        <v>155</v>
      </c>
    </row>
    <row r="39" customFormat="false" ht="15" hidden="false" customHeight="false" outlineLevel="0" collapsed="false">
      <c r="A39" s="1" t="s">
        <v>160</v>
      </c>
      <c r="B39" s="13" t="n">
        <v>55</v>
      </c>
      <c r="C39" s="14" t="n">
        <v>1</v>
      </c>
      <c r="D39" s="13" t="n">
        <v>55</v>
      </c>
      <c r="E39" s="14" t="n">
        <v>1</v>
      </c>
      <c r="F39" s="13" t="n">
        <v>55</v>
      </c>
      <c r="G39" s="14" t="n">
        <v>1</v>
      </c>
      <c r="H39" s="13" t="n">
        <v>55</v>
      </c>
      <c r="I39" s="14" t="n">
        <v>1</v>
      </c>
      <c r="J39" s="13" t="n">
        <v>0</v>
      </c>
      <c r="K39" s="14" t="n">
        <v>0</v>
      </c>
      <c r="L39" s="13" t="n">
        <v>55</v>
      </c>
      <c r="M39" s="13" t="n">
        <v>25</v>
      </c>
      <c r="N39" s="14" t="n">
        <v>0.963</v>
      </c>
      <c r="O39" s="13" t="n">
        <v>25</v>
      </c>
      <c r="P39" s="14" t="n">
        <v>0.963</v>
      </c>
      <c r="Q39" s="13" t="n">
        <v>25</v>
      </c>
      <c r="R39" s="14" t="n">
        <v>0.963</v>
      </c>
      <c r="S39" s="13" t="n">
        <v>25</v>
      </c>
      <c r="T39" s="14" t="n">
        <v>1</v>
      </c>
      <c r="U39" s="13" t="n">
        <v>0</v>
      </c>
      <c r="V39" s="14" t="n">
        <v>0</v>
      </c>
      <c r="W39" s="13" t="n">
        <v>25</v>
      </c>
      <c r="X39" s="13" t="n">
        <v>15</v>
      </c>
      <c r="Y39" s="14" t="n">
        <v>0.941</v>
      </c>
      <c r="Z39" s="13" t="n">
        <v>15</v>
      </c>
      <c r="AA39" s="14" t="n">
        <v>1</v>
      </c>
      <c r="AB39" s="13" t="n">
        <v>15</v>
      </c>
      <c r="AC39" s="14" t="n">
        <v>1</v>
      </c>
      <c r="AD39" s="13" t="n">
        <v>15</v>
      </c>
      <c r="AE39" s="14" t="n">
        <v>1</v>
      </c>
      <c r="AF39" s="13" t="n">
        <v>0</v>
      </c>
      <c r="AG39" s="14" t="n">
        <v>0</v>
      </c>
      <c r="AH39" s="13" t="n">
        <v>15</v>
      </c>
      <c r="AI39" s="13" t="n">
        <v>5</v>
      </c>
      <c r="AJ39" s="14" t="n">
        <v>1</v>
      </c>
      <c r="AK39" s="13" t="n">
        <v>5</v>
      </c>
      <c r="AL39" s="14" t="n">
        <v>1</v>
      </c>
      <c r="AM39" s="13" t="n">
        <v>5</v>
      </c>
      <c r="AN39" s="14" t="n">
        <v>1</v>
      </c>
      <c r="AO39" s="13" t="n">
        <v>5</v>
      </c>
      <c r="AP39" s="14" t="n">
        <v>1</v>
      </c>
      <c r="AQ39" s="13" t="n">
        <v>0</v>
      </c>
      <c r="AR39" s="14" t="n">
        <v>0</v>
      </c>
      <c r="AS39" s="13" t="n">
        <v>5</v>
      </c>
      <c r="AT39" s="13" t="n">
        <v>10</v>
      </c>
      <c r="AU39" s="14" t="n">
        <v>1</v>
      </c>
      <c r="AV39" s="13" t="n">
        <v>10</v>
      </c>
      <c r="AW39" s="14" t="n">
        <v>1</v>
      </c>
      <c r="AX39" s="13" t="n">
        <v>10</v>
      </c>
      <c r="AY39" s="14" t="n">
        <v>1</v>
      </c>
      <c r="AZ39" s="13" t="n">
        <v>10</v>
      </c>
      <c r="BA39" s="14" t="n">
        <v>1</v>
      </c>
      <c r="BB39" s="13" t="n">
        <v>0</v>
      </c>
      <c r="BC39" s="14" t="n">
        <v>0</v>
      </c>
      <c r="BD39" s="13" t="n">
        <v>10</v>
      </c>
      <c r="BE39" s="13" t="n">
        <v>10</v>
      </c>
      <c r="BF39" s="14" t="n">
        <v>0.889</v>
      </c>
      <c r="BG39" s="13" t="n">
        <v>10</v>
      </c>
      <c r="BH39" s="14" t="n">
        <v>1</v>
      </c>
      <c r="BI39" s="13" t="n">
        <v>10</v>
      </c>
      <c r="BJ39" s="14" t="n">
        <v>1</v>
      </c>
      <c r="BK39" s="13" t="n">
        <v>10</v>
      </c>
      <c r="BL39" s="14" t="n">
        <v>1</v>
      </c>
      <c r="BM39" s="13" t="n">
        <v>0</v>
      </c>
      <c r="BN39" s="14" t="n">
        <v>0</v>
      </c>
      <c r="BO39" s="13" t="n">
        <v>10</v>
      </c>
    </row>
    <row r="40" customFormat="false" ht="15" hidden="false" customHeight="false" outlineLevel="0" collapsed="false">
      <c r="A40" s="1" t="s">
        <v>88</v>
      </c>
      <c r="B40" s="13" t="n">
        <v>15</v>
      </c>
      <c r="C40" s="14" t="n">
        <v>0.405</v>
      </c>
      <c r="D40" s="13" t="n">
        <v>20</v>
      </c>
      <c r="E40" s="14" t="n">
        <v>0.595</v>
      </c>
      <c r="F40" s="13" t="n">
        <v>25</v>
      </c>
      <c r="G40" s="14" t="n">
        <v>0.676</v>
      </c>
      <c r="H40" s="13" t="n">
        <v>30</v>
      </c>
      <c r="I40" s="14" t="n">
        <v>0.811</v>
      </c>
      <c r="J40" s="13" t="n">
        <v>5</v>
      </c>
      <c r="K40" s="14" t="n">
        <v>0.189</v>
      </c>
      <c r="L40" s="13" t="n">
        <v>35</v>
      </c>
      <c r="M40" s="13" t="n">
        <v>15</v>
      </c>
      <c r="N40" s="14" t="s">
        <v>33</v>
      </c>
      <c r="O40" s="13" t="n">
        <v>20</v>
      </c>
      <c r="P40" s="14" t="s">
        <v>33</v>
      </c>
      <c r="Q40" s="13" t="n">
        <v>30</v>
      </c>
      <c r="R40" s="14" t="s">
        <v>33</v>
      </c>
      <c r="S40" s="13" t="n">
        <v>35</v>
      </c>
      <c r="T40" s="14" t="s">
        <v>33</v>
      </c>
      <c r="U40" s="13" t="s">
        <v>33</v>
      </c>
      <c r="V40" s="14" t="s">
        <v>33</v>
      </c>
      <c r="W40" s="13" t="n">
        <v>40</v>
      </c>
      <c r="X40" s="13" t="n">
        <v>15</v>
      </c>
      <c r="Y40" s="14" t="n">
        <v>0.395</v>
      </c>
      <c r="Z40" s="13" t="n">
        <v>25</v>
      </c>
      <c r="AA40" s="14" t="n">
        <v>0.558</v>
      </c>
      <c r="AB40" s="13" t="n">
        <v>35</v>
      </c>
      <c r="AC40" s="14" t="n">
        <v>0.767</v>
      </c>
      <c r="AD40" s="13" t="n">
        <v>40</v>
      </c>
      <c r="AE40" s="14" t="n">
        <v>0.884</v>
      </c>
      <c r="AF40" s="13" t="n">
        <v>5</v>
      </c>
      <c r="AG40" s="14" t="n">
        <v>0.116</v>
      </c>
      <c r="AH40" s="13" t="n">
        <v>45</v>
      </c>
      <c r="AI40" s="13" t="n">
        <v>15</v>
      </c>
      <c r="AJ40" s="14" t="n">
        <v>0.516</v>
      </c>
      <c r="AK40" s="13" t="n">
        <v>20</v>
      </c>
      <c r="AL40" s="14" t="n">
        <v>0.677</v>
      </c>
      <c r="AM40" s="13" t="n">
        <v>25</v>
      </c>
      <c r="AN40" s="14" t="n">
        <v>0.871</v>
      </c>
      <c r="AO40" s="13" t="n">
        <v>30</v>
      </c>
      <c r="AP40" s="14" t="n">
        <v>1</v>
      </c>
      <c r="AQ40" s="13" t="n">
        <v>0</v>
      </c>
      <c r="AR40" s="14" t="n">
        <v>0</v>
      </c>
      <c r="AS40" s="13" t="n">
        <v>30</v>
      </c>
      <c r="AT40" s="13" t="n">
        <v>15</v>
      </c>
      <c r="AU40" s="14" t="s">
        <v>33</v>
      </c>
      <c r="AV40" s="13" t="n">
        <v>30</v>
      </c>
      <c r="AW40" s="14" t="s">
        <v>33</v>
      </c>
      <c r="AX40" s="13" t="n">
        <v>35</v>
      </c>
      <c r="AY40" s="14" t="s">
        <v>33</v>
      </c>
      <c r="AZ40" s="13" t="n">
        <v>35</v>
      </c>
      <c r="BA40" s="14" t="s">
        <v>33</v>
      </c>
      <c r="BB40" s="13" t="s">
        <v>33</v>
      </c>
      <c r="BC40" s="14" t="s">
        <v>33</v>
      </c>
      <c r="BD40" s="13" t="n">
        <v>35</v>
      </c>
      <c r="BE40" s="13" t="n">
        <v>15</v>
      </c>
      <c r="BF40" s="14" t="s">
        <v>33</v>
      </c>
      <c r="BG40" s="13" t="n">
        <v>25</v>
      </c>
      <c r="BH40" s="14" t="s">
        <v>33</v>
      </c>
      <c r="BI40" s="13" t="n">
        <v>30</v>
      </c>
      <c r="BJ40" s="14" t="s">
        <v>33</v>
      </c>
      <c r="BK40" s="13" t="n">
        <v>30</v>
      </c>
      <c r="BL40" s="14" t="s">
        <v>33</v>
      </c>
      <c r="BM40" s="13" t="s">
        <v>33</v>
      </c>
      <c r="BN40" s="14" t="s">
        <v>33</v>
      </c>
      <c r="BO40" s="13" t="n">
        <v>35</v>
      </c>
    </row>
    <row r="41" customFormat="false" ht="15" hidden="false" customHeight="false" outlineLevel="0" collapsed="false">
      <c r="A41" s="1" t="s">
        <v>89</v>
      </c>
      <c r="B41" s="13" t="n">
        <v>7465</v>
      </c>
      <c r="C41" s="14" t="n">
        <v>0.404</v>
      </c>
      <c r="D41" s="13" t="n">
        <v>10900</v>
      </c>
      <c r="E41" s="14" t="n">
        <v>0.59</v>
      </c>
      <c r="F41" s="13" t="n">
        <v>13435</v>
      </c>
      <c r="G41" s="14" t="n">
        <v>0.727</v>
      </c>
      <c r="H41" s="13" t="n">
        <v>15495</v>
      </c>
      <c r="I41" s="14" t="n">
        <v>0.838</v>
      </c>
      <c r="J41" s="13" t="n">
        <v>2985</v>
      </c>
      <c r="K41" s="14" t="n">
        <v>0.162</v>
      </c>
      <c r="L41" s="13" t="n">
        <v>18480</v>
      </c>
      <c r="M41" s="13" t="n">
        <v>7275</v>
      </c>
      <c r="N41" s="14" t="n">
        <v>0.389</v>
      </c>
      <c r="O41" s="13" t="n">
        <v>11025</v>
      </c>
      <c r="P41" s="14" t="n">
        <v>0.589</v>
      </c>
      <c r="Q41" s="13" t="n">
        <v>13695</v>
      </c>
      <c r="R41" s="14" t="n">
        <v>0.732</v>
      </c>
      <c r="S41" s="13" t="n">
        <v>15795</v>
      </c>
      <c r="T41" s="14" t="n">
        <v>0.844</v>
      </c>
      <c r="U41" s="13" t="n">
        <v>2915</v>
      </c>
      <c r="V41" s="14" t="n">
        <v>0.156</v>
      </c>
      <c r="W41" s="13" t="n">
        <v>18705</v>
      </c>
      <c r="X41" s="13" t="n">
        <v>8270</v>
      </c>
      <c r="Y41" s="14" t="n">
        <v>0.459</v>
      </c>
      <c r="Z41" s="13" t="n">
        <v>11285</v>
      </c>
      <c r="AA41" s="14" t="n">
        <v>0.627</v>
      </c>
      <c r="AB41" s="13" t="n">
        <v>13560</v>
      </c>
      <c r="AC41" s="14" t="n">
        <v>0.753</v>
      </c>
      <c r="AD41" s="13" t="n">
        <v>15270</v>
      </c>
      <c r="AE41" s="14" t="n">
        <v>0.848</v>
      </c>
      <c r="AF41" s="13" t="n">
        <v>2740</v>
      </c>
      <c r="AG41" s="14" t="n">
        <v>0.152</v>
      </c>
      <c r="AH41" s="13" t="n">
        <v>18010</v>
      </c>
      <c r="AI41" s="13" t="n">
        <v>9130</v>
      </c>
      <c r="AJ41" s="14" t="n">
        <v>0.471</v>
      </c>
      <c r="AK41" s="13" t="n">
        <v>12520</v>
      </c>
      <c r="AL41" s="14" t="n">
        <v>0.646</v>
      </c>
      <c r="AM41" s="13" t="n">
        <v>15535</v>
      </c>
      <c r="AN41" s="14" t="n">
        <v>0.801</v>
      </c>
      <c r="AO41" s="13" t="n">
        <v>16965</v>
      </c>
      <c r="AP41" s="14" t="n">
        <v>0.875</v>
      </c>
      <c r="AQ41" s="13" t="n">
        <v>2425</v>
      </c>
      <c r="AR41" s="14" t="n">
        <v>0.125</v>
      </c>
      <c r="AS41" s="13" t="n">
        <v>19390</v>
      </c>
      <c r="AT41" s="13" t="n">
        <v>7770</v>
      </c>
      <c r="AU41" s="14" t="n">
        <v>0.406</v>
      </c>
      <c r="AV41" s="13" t="n">
        <v>11940</v>
      </c>
      <c r="AW41" s="14" t="n">
        <v>0.624</v>
      </c>
      <c r="AX41" s="13" t="n">
        <v>15945</v>
      </c>
      <c r="AY41" s="14" t="n">
        <v>0.833</v>
      </c>
      <c r="AZ41" s="13" t="n">
        <v>17515</v>
      </c>
      <c r="BA41" s="14" t="n">
        <v>0.915</v>
      </c>
      <c r="BB41" s="13" t="n">
        <v>1630</v>
      </c>
      <c r="BC41" s="14" t="n">
        <v>0.085</v>
      </c>
      <c r="BD41" s="13" t="n">
        <v>19145</v>
      </c>
      <c r="BE41" s="13" t="n">
        <v>6110</v>
      </c>
      <c r="BF41" s="14" t="n">
        <v>0.329</v>
      </c>
      <c r="BG41" s="13" t="n">
        <v>10100</v>
      </c>
      <c r="BH41" s="14" t="n">
        <v>0.543</v>
      </c>
      <c r="BI41" s="13" t="n">
        <v>13455</v>
      </c>
      <c r="BJ41" s="14" t="n">
        <v>0.724</v>
      </c>
      <c r="BK41" s="13" t="n">
        <v>16030</v>
      </c>
      <c r="BL41" s="14" t="n">
        <v>0.862</v>
      </c>
      <c r="BM41" s="13" t="n">
        <v>2565</v>
      </c>
      <c r="BN41" s="14" t="n">
        <v>0.138</v>
      </c>
      <c r="BO41" s="13" t="n">
        <v>18595</v>
      </c>
    </row>
    <row r="42" customFormat="false" ht="15" hidden="false" customHeight="false" outlineLevel="0" collapsed="false">
      <c r="A42" s="1" t="s">
        <v>69</v>
      </c>
      <c r="B42" s="13" t="n">
        <v>320</v>
      </c>
      <c r="C42" s="14" t="n">
        <v>0.202</v>
      </c>
      <c r="D42" s="13" t="n">
        <v>760</v>
      </c>
      <c r="E42" s="14" t="n">
        <v>0.475</v>
      </c>
      <c r="F42" s="13" t="n">
        <v>1125</v>
      </c>
      <c r="G42" s="14" t="n">
        <v>0.703</v>
      </c>
      <c r="H42" s="13" t="n">
        <v>1400</v>
      </c>
      <c r="I42" s="14" t="n">
        <v>0.877</v>
      </c>
      <c r="J42" s="13" t="n">
        <v>195</v>
      </c>
      <c r="K42" s="14" t="n">
        <v>0.123</v>
      </c>
      <c r="L42" s="13" t="n">
        <v>1595</v>
      </c>
      <c r="M42" s="13" t="n">
        <v>245</v>
      </c>
      <c r="N42" s="14" t="n">
        <v>0.19</v>
      </c>
      <c r="O42" s="13" t="n">
        <v>565</v>
      </c>
      <c r="P42" s="14" t="n">
        <v>0.44</v>
      </c>
      <c r="Q42" s="13" t="n">
        <v>875</v>
      </c>
      <c r="R42" s="14" t="n">
        <v>0.686</v>
      </c>
      <c r="S42" s="13" t="n">
        <v>1115</v>
      </c>
      <c r="T42" s="14" t="n">
        <v>0.871</v>
      </c>
      <c r="U42" s="13" t="n">
        <v>165</v>
      </c>
      <c r="V42" s="14" t="n">
        <v>0.129</v>
      </c>
      <c r="W42" s="13" t="n">
        <v>1280</v>
      </c>
      <c r="X42" s="13" t="n">
        <v>315</v>
      </c>
      <c r="Y42" s="14" t="n">
        <v>0.285</v>
      </c>
      <c r="Z42" s="13" t="n">
        <v>630</v>
      </c>
      <c r="AA42" s="14" t="n">
        <v>0.572</v>
      </c>
      <c r="AB42" s="13" t="n">
        <v>865</v>
      </c>
      <c r="AC42" s="14" t="n">
        <v>0.784</v>
      </c>
      <c r="AD42" s="13" t="n">
        <v>995</v>
      </c>
      <c r="AE42" s="14" t="n">
        <v>0.901</v>
      </c>
      <c r="AF42" s="13" t="n">
        <v>110</v>
      </c>
      <c r="AG42" s="14" t="n">
        <v>0.099</v>
      </c>
      <c r="AH42" s="13" t="n">
        <v>1105</v>
      </c>
      <c r="AI42" s="13" t="n">
        <v>505</v>
      </c>
      <c r="AJ42" s="14" t="n">
        <v>0.487</v>
      </c>
      <c r="AK42" s="13" t="n">
        <v>770</v>
      </c>
      <c r="AL42" s="14" t="n">
        <v>0.746</v>
      </c>
      <c r="AM42" s="13" t="n">
        <v>935</v>
      </c>
      <c r="AN42" s="14" t="n">
        <v>0.905</v>
      </c>
      <c r="AO42" s="13" t="n">
        <v>985</v>
      </c>
      <c r="AP42" s="14" t="n">
        <v>0.953</v>
      </c>
      <c r="AQ42" s="13" t="n">
        <v>50</v>
      </c>
      <c r="AR42" s="14" t="n">
        <v>0.047</v>
      </c>
      <c r="AS42" s="13" t="n">
        <v>1035</v>
      </c>
      <c r="AT42" s="13" t="n">
        <v>325</v>
      </c>
      <c r="AU42" s="14" t="n">
        <v>0.352</v>
      </c>
      <c r="AV42" s="13" t="n">
        <v>600</v>
      </c>
      <c r="AW42" s="14" t="n">
        <v>0.655</v>
      </c>
      <c r="AX42" s="13" t="n">
        <v>830</v>
      </c>
      <c r="AY42" s="14" t="n">
        <v>0.904</v>
      </c>
      <c r="AZ42" s="13" t="n">
        <v>890</v>
      </c>
      <c r="BA42" s="14" t="n">
        <v>0.969</v>
      </c>
      <c r="BB42" s="13" t="n">
        <v>30</v>
      </c>
      <c r="BC42" s="14" t="n">
        <v>0.031</v>
      </c>
      <c r="BD42" s="13" t="n">
        <v>920</v>
      </c>
      <c r="BE42" s="13" t="n">
        <v>190</v>
      </c>
      <c r="BF42" s="14" t="n">
        <v>0.192</v>
      </c>
      <c r="BG42" s="13" t="n">
        <v>430</v>
      </c>
      <c r="BH42" s="14" t="n">
        <v>0.43</v>
      </c>
      <c r="BI42" s="13" t="n">
        <v>685</v>
      </c>
      <c r="BJ42" s="14" t="n">
        <v>0.687</v>
      </c>
      <c r="BK42" s="13" t="n">
        <v>880</v>
      </c>
      <c r="BL42" s="14" t="n">
        <v>0.879</v>
      </c>
      <c r="BM42" s="13" t="n">
        <v>120</v>
      </c>
      <c r="BN42" s="14" t="n">
        <v>0.121</v>
      </c>
      <c r="BO42" s="13" t="n">
        <v>1000</v>
      </c>
    </row>
    <row r="43" customFormat="false" ht="15" hidden="false" customHeight="false" outlineLevel="0" collapsed="false">
      <c r="A43" s="1" t="s">
        <v>70</v>
      </c>
      <c r="B43" s="13" t="n">
        <v>3490</v>
      </c>
      <c r="C43" s="14" t="n">
        <v>0.368</v>
      </c>
      <c r="D43" s="13" t="n">
        <v>5520</v>
      </c>
      <c r="E43" s="14" t="n">
        <v>0.581</v>
      </c>
      <c r="F43" s="13" t="n">
        <v>7225</v>
      </c>
      <c r="G43" s="14" t="n">
        <v>0.761</v>
      </c>
      <c r="H43" s="13" t="n">
        <v>8435</v>
      </c>
      <c r="I43" s="14" t="n">
        <v>0.889</v>
      </c>
      <c r="J43" s="13" t="n">
        <v>1055</v>
      </c>
      <c r="K43" s="14" t="n">
        <v>0.111</v>
      </c>
      <c r="L43" s="13" t="n">
        <v>9490</v>
      </c>
      <c r="M43" s="13" t="n">
        <v>4010</v>
      </c>
      <c r="N43" s="14" t="n">
        <v>0.402</v>
      </c>
      <c r="O43" s="13" t="n">
        <v>6060</v>
      </c>
      <c r="P43" s="14" t="n">
        <v>0.608</v>
      </c>
      <c r="Q43" s="13" t="n">
        <v>7770</v>
      </c>
      <c r="R43" s="14" t="n">
        <v>0.779</v>
      </c>
      <c r="S43" s="13" t="n">
        <v>8900</v>
      </c>
      <c r="T43" s="14" t="n">
        <v>0.892</v>
      </c>
      <c r="U43" s="13" t="n">
        <v>1075</v>
      </c>
      <c r="V43" s="14" t="n">
        <v>0.108</v>
      </c>
      <c r="W43" s="13" t="n">
        <v>9975</v>
      </c>
      <c r="X43" s="13" t="n">
        <v>4015</v>
      </c>
      <c r="Y43" s="14" t="n">
        <v>0.411</v>
      </c>
      <c r="Z43" s="13" t="n">
        <v>6050</v>
      </c>
      <c r="AA43" s="14" t="n">
        <v>0.619</v>
      </c>
      <c r="AB43" s="13" t="n">
        <v>7760</v>
      </c>
      <c r="AC43" s="14" t="n">
        <v>0.794</v>
      </c>
      <c r="AD43" s="13" t="n">
        <v>8860</v>
      </c>
      <c r="AE43" s="14" t="n">
        <v>0.907</v>
      </c>
      <c r="AF43" s="13" t="n">
        <v>910</v>
      </c>
      <c r="AG43" s="14" t="n">
        <v>0.093</v>
      </c>
      <c r="AH43" s="13" t="n">
        <v>9770</v>
      </c>
      <c r="AI43" s="13" t="n">
        <v>5355</v>
      </c>
      <c r="AJ43" s="14" t="n">
        <v>0.562</v>
      </c>
      <c r="AK43" s="13" t="n">
        <v>7320</v>
      </c>
      <c r="AL43" s="14" t="n">
        <v>0.768</v>
      </c>
      <c r="AM43" s="13" t="n">
        <v>8645</v>
      </c>
      <c r="AN43" s="14" t="n">
        <v>0.907</v>
      </c>
      <c r="AO43" s="13" t="n">
        <v>9165</v>
      </c>
      <c r="AP43" s="14" t="n">
        <v>0.962</v>
      </c>
      <c r="AQ43" s="13" t="n">
        <v>365</v>
      </c>
      <c r="AR43" s="14" t="n">
        <v>0.038</v>
      </c>
      <c r="AS43" s="13" t="n">
        <v>9530</v>
      </c>
      <c r="AT43" s="13" t="n">
        <v>3755</v>
      </c>
      <c r="AU43" s="14" t="n">
        <v>0.443</v>
      </c>
      <c r="AV43" s="13" t="n">
        <v>5920</v>
      </c>
      <c r="AW43" s="14" t="n">
        <v>0.698</v>
      </c>
      <c r="AX43" s="13" t="n">
        <v>7695</v>
      </c>
      <c r="AY43" s="14" t="n">
        <v>0.908</v>
      </c>
      <c r="AZ43" s="13" t="n">
        <v>8180</v>
      </c>
      <c r="BA43" s="14" t="n">
        <v>0.965</v>
      </c>
      <c r="BB43" s="13" t="n">
        <v>295</v>
      </c>
      <c r="BC43" s="14" t="n">
        <v>0.035</v>
      </c>
      <c r="BD43" s="13" t="n">
        <v>8475</v>
      </c>
      <c r="BE43" s="13" t="n">
        <v>2945</v>
      </c>
      <c r="BF43" s="14" t="n">
        <v>0.34</v>
      </c>
      <c r="BG43" s="13" t="n">
        <v>4880</v>
      </c>
      <c r="BH43" s="14" t="n">
        <v>0.564</v>
      </c>
      <c r="BI43" s="13" t="n">
        <v>6575</v>
      </c>
      <c r="BJ43" s="14" t="n">
        <v>0.76</v>
      </c>
      <c r="BK43" s="13" t="n">
        <v>7690</v>
      </c>
      <c r="BL43" s="14" t="n">
        <v>0.889</v>
      </c>
      <c r="BM43" s="13" t="n">
        <v>960</v>
      </c>
      <c r="BN43" s="14" t="n">
        <v>0.111</v>
      </c>
      <c r="BO43" s="13" t="n">
        <v>8655</v>
      </c>
    </row>
    <row r="44" customFormat="false" ht="15" hidden="false" customHeight="false" outlineLevel="0" collapsed="false">
      <c r="A44" s="1" t="s">
        <v>71</v>
      </c>
      <c r="B44" s="13" t="n">
        <v>2485</v>
      </c>
      <c r="C44" s="14" t="n">
        <v>0.48</v>
      </c>
      <c r="D44" s="13" t="n">
        <v>3955</v>
      </c>
      <c r="E44" s="14" t="n">
        <v>0.763</v>
      </c>
      <c r="F44" s="13" t="n">
        <v>4760</v>
      </c>
      <c r="G44" s="14" t="n">
        <v>0.919</v>
      </c>
      <c r="H44" s="13" t="n">
        <v>5065</v>
      </c>
      <c r="I44" s="14" t="n">
        <v>0.978</v>
      </c>
      <c r="J44" s="13" t="n">
        <v>115</v>
      </c>
      <c r="K44" s="14" t="n">
        <v>0.022</v>
      </c>
      <c r="L44" s="13" t="n">
        <v>5180</v>
      </c>
      <c r="M44" s="13" t="n">
        <v>2650</v>
      </c>
      <c r="N44" s="14" t="n">
        <v>0.523</v>
      </c>
      <c r="O44" s="13" t="n">
        <v>4100</v>
      </c>
      <c r="P44" s="14" t="n">
        <v>0.81</v>
      </c>
      <c r="Q44" s="13" t="n">
        <v>4735</v>
      </c>
      <c r="R44" s="14" t="n">
        <v>0.936</v>
      </c>
      <c r="S44" s="13" t="n">
        <v>4980</v>
      </c>
      <c r="T44" s="14" t="n">
        <v>0.985</v>
      </c>
      <c r="U44" s="13" t="n">
        <v>80</v>
      </c>
      <c r="V44" s="14" t="n">
        <v>0.015</v>
      </c>
      <c r="W44" s="13" t="n">
        <v>5060</v>
      </c>
      <c r="X44" s="13" t="n">
        <v>3095</v>
      </c>
      <c r="Y44" s="14" t="n">
        <v>0.627</v>
      </c>
      <c r="Z44" s="13" t="n">
        <v>4130</v>
      </c>
      <c r="AA44" s="14" t="n">
        <v>0.837</v>
      </c>
      <c r="AB44" s="13" t="n">
        <v>4655</v>
      </c>
      <c r="AC44" s="14" t="n">
        <v>0.943</v>
      </c>
      <c r="AD44" s="13" t="n">
        <v>4840</v>
      </c>
      <c r="AE44" s="14" t="n">
        <v>0.981</v>
      </c>
      <c r="AF44" s="13" t="n">
        <v>95</v>
      </c>
      <c r="AG44" s="14" t="n">
        <v>0.019</v>
      </c>
      <c r="AH44" s="13" t="n">
        <v>4935</v>
      </c>
      <c r="AI44" s="13" t="n">
        <v>3385</v>
      </c>
      <c r="AJ44" s="14" t="n">
        <v>0.649</v>
      </c>
      <c r="AK44" s="13" t="n">
        <v>4525</v>
      </c>
      <c r="AL44" s="14" t="n">
        <v>0.868</v>
      </c>
      <c r="AM44" s="13" t="n">
        <v>5080</v>
      </c>
      <c r="AN44" s="14" t="n">
        <v>0.974</v>
      </c>
      <c r="AO44" s="13" t="n">
        <v>5165</v>
      </c>
      <c r="AP44" s="14" t="n">
        <v>0.991</v>
      </c>
      <c r="AQ44" s="13" t="n">
        <v>50</v>
      </c>
      <c r="AR44" s="14" t="n">
        <v>0.009</v>
      </c>
      <c r="AS44" s="13" t="n">
        <v>5215</v>
      </c>
      <c r="AT44" s="13" t="n">
        <v>3125</v>
      </c>
      <c r="AU44" s="14" t="n">
        <v>0.614</v>
      </c>
      <c r="AV44" s="13" t="n">
        <v>4385</v>
      </c>
      <c r="AW44" s="14" t="n">
        <v>0.862</v>
      </c>
      <c r="AX44" s="13" t="n">
        <v>4990</v>
      </c>
      <c r="AY44" s="14" t="n">
        <v>0.98</v>
      </c>
      <c r="AZ44" s="13" t="n">
        <v>5065</v>
      </c>
      <c r="BA44" s="14" t="n">
        <v>0.995</v>
      </c>
      <c r="BB44" s="13" t="n">
        <v>25</v>
      </c>
      <c r="BC44" s="14" t="n">
        <v>0.005</v>
      </c>
      <c r="BD44" s="13" t="n">
        <v>5090</v>
      </c>
      <c r="BE44" s="13" t="n">
        <v>2300</v>
      </c>
      <c r="BF44" s="14" t="n">
        <v>0.454</v>
      </c>
      <c r="BG44" s="13" t="n">
        <v>3820</v>
      </c>
      <c r="BH44" s="14" t="n">
        <v>0.754</v>
      </c>
      <c r="BI44" s="13" t="n">
        <v>4665</v>
      </c>
      <c r="BJ44" s="14" t="n">
        <v>0.92</v>
      </c>
      <c r="BK44" s="13" t="n">
        <v>4965</v>
      </c>
      <c r="BL44" s="14" t="n">
        <v>0.98</v>
      </c>
      <c r="BM44" s="13" t="n">
        <v>105</v>
      </c>
      <c r="BN44" s="14" t="n">
        <v>0.02</v>
      </c>
      <c r="BO44" s="13" t="n">
        <v>5065</v>
      </c>
    </row>
    <row r="45" customFormat="false" ht="15" hidden="false" customHeight="false" outlineLevel="0" collapsed="false">
      <c r="A45" s="1" t="s">
        <v>72</v>
      </c>
      <c r="B45" s="13" t="n">
        <v>365</v>
      </c>
      <c r="C45" s="14" t="n">
        <v>0.339</v>
      </c>
      <c r="D45" s="13" t="n">
        <v>720</v>
      </c>
      <c r="E45" s="14" t="n">
        <v>0.673</v>
      </c>
      <c r="F45" s="13" t="n">
        <v>950</v>
      </c>
      <c r="G45" s="14" t="n">
        <v>0.889</v>
      </c>
      <c r="H45" s="13" t="n">
        <v>1035</v>
      </c>
      <c r="I45" s="14" t="n">
        <v>0.966</v>
      </c>
      <c r="J45" s="13" t="n">
        <v>35</v>
      </c>
      <c r="K45" s="14" t="n">
        <v>0.034</v>
      </c>
      <c r="L45" s="13" t="n">
        <v>1070</v>
      </c>
      <c r="M45" s="13" t="n">
        <v>390</v>
      </c>
      <c r="N45" s="14" t="n">
        <v>0.365</v>
      </c>
      <c r="O45" s="13" t="n">
        <v>725</v>
      </c>
      <c r="P45" s="14" t="n">
        <v>0.676</v>
      </c>
      <c r="Q45" s="13" t="n">
        <v>945</v>
      </c>
      <c r="R45" s="14" t="n">
        <v>0.878</v>
      </c>
      <c r="S45" s="13" t="n">
        <v>1035</v>
      </c>
      <c r="T45" s="14" t="n">
        <v>0.965</v>
      </c>
      <c r="U45" s="13" t="n">
        <v>40</v>
      </c>
      <c r="V45" s="14" t="n">
        <v>0.035</v>
      </c>
      <c r="W45" s="13" t="n">
        <v>1075</v>
      </c>
      <c r="X45" s="13" t="n">
        <v>270</v>
      </c>
      <c r="Y45" s="14" t="n">
        <v>0.293</v>
      </c>
      <c r="Z45" s="13" t="n">
        <v>560</v>
      </c>
      <c r="AA45" s="14" t="n">
        <v>0.603</v>
      </c>
      <c r="AB45" s="13" t="n">
        <v>750</v>
      </c>
      <c r="AC45" s="14" t="n">
        <v>0.809</v>
      </c>
      <c r="AD45" s="13" t="n">
        <v>880</v>
      </c>
      <c r="AE45" s="14" t="n">
        <v>0.952</v>
      </c>
      <c r="AF45" s="13" t="n">
        <v>45</v>
      </c>
      <c r="AG45" s="14" t="n">
        <v>0.048</v>
      </c>
      <c r="AH45" s="13" t="n">
        <v>925</v>
      </c>
      <c r="AI45" s="13" t="n">
        <v>495</v>
      </c>
      <c r="AJ45" s="14" t="n">
        <v>0.542</v>
      </c>
      <c r="AK45" s="13" t="n">
        <v>715</v>
      </c>
      <c r="AL45" s="14" t="n">
        <v>0.784</v>
      </c>
      <c r="AM45" s="13" t="n">
        <v>855</v>
      </c>
      <c r="AN45" s="14" t="n">
        <v>0.939</v>
      </c>
      <c r="AO45" s="13" t="n">
        <v>895</v>
      </c>
      <c r="AP45" s="14" t="n">
        <v>0.98</v>
      </c>
      <c r="AQ45" s="13" t="n">
        <v>20</v>
      </c>
      <c r="AR45" s="14" t="n">
        <v>0.02</v>
      </c>
      <c r="AS45" s="13" t="n">
        <v>915</v>
      </c>
      <c r="AT45" s="13" t="n">
        <v>400</v>
      </c>
      <c r="AU45" s="14" t="n">
        <v>0.48</v>
      </c>
      <c r="AV45" s="13" t="n">
        <v>665</v>
      </c>
      <c r="AW45" s="14" t="n">
        <v>0.799</v>
      </c>
      <c r="AX45" s="13" t="n">
        <v>810</v>
      </c>
      <c r="AY45" s="14" t="n">
        <v>0.97</v>
      </c>
      <c r="AZ45" s="13" t="n">
        <v>825</v>
      </c>
      <c r="BA45" s="14" t="n">
        <v>0.989</v>
      </c>
      <c r="BB45" s="13" t="n">
        <v>10</v>
      </c>
      <c r="BC45" s="14" t="n">
        <v>0.011</v>
      </c>
      <c r="BD45" s="13" t="n">
        <v>835</v>
      </c>
      <c r="BE45" s="13" t="n">
        <v>170</v>
      </c>
      <c r="BF45" s="14" t="n">
        <v>0.223</v>
      </c>
      <c r="BG45" s="13" t="n">
        <v>400</v>
      </c>
      <c r="BH45" s="14" t="n">
        <v>0.519</v>
      </c>
      <c r="BI45" s="13" t="n">
        <v>605</v>
      </c>
      <c r="BJ45" s="14" t="n">
        <v>0.782</v>
      </c>
      <c r="BK45" s="13" t="n">
        <v>725</v>
      </c>
      <c r="BL45" s="14" t="n">
        <v>0.942</v>
      </c>
      <c r="BM45" s="13" t="n">
        <v>45</v>
      </c>
      <c r="BN45" s="14" t="n">
        <v>0.058</v>
      </c>
      <c r="BO45" s="13" t="n">
        <v>770</v>
      </c>
    </row>
    <row r="46" customFormat="false" ht="15" hidden="false" customHeight="false" outlineLevel="0" collapsed="false">
      <c r="A46" s="12" t="s">
        <v>161</v>
      </c>
      <c r="B46" s="13" t="n">
        <v>0</v>
      </c>
      <c r="C46" s="14" t="n">
        <v>0</v>
      </c>
      <c r="D46" s="13" t="s">
        <v>33</v>
      </c>
      <c r="E46" s="14" t="s">
        <v>33</v>
      </c>
      <c r="F46" s="13" t="s">
        <v>33</v>
      </c>
      <c r="G46" s="14" t="s">
        <v>33</v>
      </c>
      <c r="H46" s="13" t="s">
        <v>33</v>
      </c>
      <c r="I46" s="14" t="s">
        <v>33</v>
      </c>
      <c r="J46" s="13" t="s">
        <v>33</v>
      </c>
      <c r="K46" s="14" t="s">
        <v>33</v>
      </c>
      <c r="L46" s="13" t="s">
        <v>33</v>
      </c>
      <c r="M46" s="13" t="s">
        <v>35</v>
      </c>
      <c r="N46" s="14" t="s">
        <v>35</v>
      </c>
      <c r="O46" s="13" t="s">
        <v>35</v>
      </c>
      <c r="P46" s="14" t="s">
        <v>35</v>
      </c>
      <c r="Q46" s="13" t="s">
        <v>35</v>
      </c>
      <c r="R46" s="14" t="s">
        <v>35</v>
      </c>
      <c r="S46" s="13" t="s">
        <v>35</v>
      </c>
      <c r="T46" s="14" t="s">
        <v>35</v>
      </c>
      <c r="U46" s="13" t="s">
        <v>35</v>
      </c>
      <c r="V46" s="14" t="s">
        <v>35</v>
      </c>
      <c r="W46" s="13" t="n">
        <v>0</v>
      </c>
      <c r="X46" s="13" t="s">
        <v>35</v>
      </c>
      <c r="Y46" s="14" t="s">
        <v>35</v>
      </c>
      <c r="Z46" s="13" t="s">
        <v>35</v>
      </c>
      <c r="AA46" s="14" t="s">
        <v>35</v>
      </c>
      <c r="AB46" s="13" t="s">
        <v>35</v>
      </c>
      <c r="AC46" s="14" t="s">
        <v>35</v>
      </c>
      <c r="AD46" s="13" t="s">
        <v>35</v>
      </c>
      <c r="AE46" s="14" t="s">
        <v>35</v>
      </c>
      <c r="AF46" s="13" t="s">
        <v>35</v>
      </c>
      <c r="AG46" s="14" t="s">
        <v>35</v>
      </c>
      <c r="AH46" s="13" t="n">
        <v>0</v>
      </c>
      <c r="AI46" s="13" t="s">
        <v>35</v>
      </c>
      <c r="AJ46" s="14" t="s">
        <v>35</v>
      </c>
      <c r="AK46" s="13" t="s">
        <v>35</v>
      </c>
      <c r="AL46" s="14" t="s">
        <v>35</v>
      </c>
      <c r="AM46" s="13" t="s">
        <v>35</v>
      </c>
      <c r="AN46" s="14" t="s">
        <v>35</v>
      </c>
      <c r="AO46" s="13" t="s">
        <v>35</v>
      </c>
      <c r="AP46" s="14" t="s">
        <v>35</v>
      </c>
      <c r="AQ46" s="13" t="s">
        <v>35</v>
      </c>
      <c r="AR46" s="14" t="s">
        <v>35</v>
      </c>
      <c r="AS46" s="13" t="n">
        <v>0</v>
      </c>
      <c r="AT46" s="13" t="s">
        <v>35</v>
      </c>
      <c r="AU46" s="14" t="s">
        <v>35</v>
      </c>
      <c r="AV46" s="13" t="s">
        <v>35</v>
      </c>
      <c r="AW46" s="14" t="s">
        <v>35</v>
      </c>
      <c r="AX46" s="13" t="s">
        <v>35</v>
      </c>
      <c r="AY46" s="14" t="s">
        <v>35</v>
      </c>
      <c r="AZ46" s="13" t="s">
        <v>35</v>
      </c>
      <c r="BA46" s="14" t="s">
        <v>35</v>
      </c>
      <c r="BB46" s="13" t="s">
        <v>35</v>
      </c>
      <c r="BC46" s="14" t="s">
        <v>35</v>
      </c>
      <c r="BD46" s="13" t="n">
        <v>0</v>
      </c>
      <c r="BE46" s="13" t="s">
        <v>35</v>
      </c>
      <c r="BF46" s="14" t="s">
        <v>35</v>
      </c>
      <c r="BG46" s="13" t="s">
        <v>35</v>
      </c>
      <c r="BH46" s="14" t="s">
        <v>35</v>
      </c>
      <c r="BI46" s="13" t="s">
        <v>35</v>
      </c>
      <c r="BJ46" s="14" t="s">
        <v>35</v>
      </c>
      <c r="BK46" s="13" t="s">
        <v>35</v>
      </c>
      <c r="BL46" s="14" t="s">
        <v>35</v>
      </c>
      <c r="BM46" s="13" t="s">
        <v>35</v>
      </c>
      <c r="BN46" s="14" t="s">
        <v>35</v>
      </c>
      <c r="BO46" s="13" t="n">
        <v>0</v>
      </c>
    </row>
    <row r="47" customFormat="false" ht="15" hidden="false" customHeight="false" outlineLevel="0" collapsed="false">
      <c r="A47" s="1" t="s">
        <v>162</v>
      </c>
      <c r="B47" s="13" t="n">
        <v>125</v>
      </c>
      <c r="C47" s="14" t="n">
        <v>0.224</v>
      </c>
      <c r="D47" s="13" t="n">
        <v>210</v>
      </c>
      <c r="E47" s="14" t="n">
        <v>0.375</v>
      </c>
      <c r="F47" s="13" t="n">
        <v>300</v>
      </c>
      <c r="G47" s="14" t="n">
        <v>0.534</v>
      </c>
      <c r="H47" s="13" t="n">
        <v>400</v>
      </c>
      <c r="I47" s="14" t="n">
        <v>0.715</v>
      </c>
      <c r="J47" s="13" t="n">
        <v>160</v>
      </c>
      <c r="K47" s="14" t="n">
        <v>0.285</v>
      </c>
      <c r="L47" s="13" t="n">
        <v>560</v>
      </c>
      <c r="M47" s="13" t="n">
        <v>120</v>
      </c>
      <c r="N47" s="14" t="n">
        <v>0.18</v>
      </c>
      <c r="O47" s="13" t="n">
        <v>240</v>
      </c>
      <c r="P47" s="14" t="n">
        <v>0.365</v>
      </c>
      <c r="Q47" s="13" t="n">
        <v>350</v>
      </c>
      <c r="R47" s="14" t="n">
        <v>0.537</v>
      </c>
      <c r="S47" s="13" t="n">
        <v>485</v>
      </c>
      <c r="T47" s="14" t="n">
        <v>0.744</v>
      </c>
      <c r="U47" s="13" t="n">
        <v>170</v>
      </c>
      <c r="V47" s="14" t="n">
        <v>0.256</v>
      </c>
      <c r="W47" s="13" t="n">
        <v>655</v>
      </c>
      <c r="X47" s="13" t="n">
        <v>185</v>
      </c>
      <c r="Y47" s="14" t="n">
        <v>0.249</v>
      </c>
      <c r="Z47" s="13" t="n">
        <v>335</v>
      </c>
      <c r="AA47" s="14" t="n">
        <v>0.447</v>
      </c>
      <c r="AB47" s="13" t="n">
        <v>495</v>
      </c>
      <c r="AC47" s="14" t="n">
        <v>0.66</v>
      </c>
      <c r="AD47" s="13" t="n">
        <v>630</v>
      </c>
      <c r="AE47" s="14" t="n">
        <v>0.839</v>
      </c>
      <c r="AF47" s="13" t="n">
        <v>120</v>
      </c>
      <c r="AG47" s="14" t="n">
        <v>0.161</v>
      </c>
      <c r="AH47" s="13" t="n">
        <v>750</v>
      </c>
      <c r="AI47" s="13" t="n">
        <v>395</v>
      </c>
      <c r="AJ47" s="14" t="n">
        <v>0.485</v>
      </c>
      <c r="AK47" s="13" t="n">
        <v>590</v>
      </c>
      <c r="AL47" s="14" t="n">
        <v>0.719</v>
      </c>
      <c r="AM47" s="13" t="n">
        <v>715</v>
      </c>
      <c r="AN47" s="14" t="n">
        <v>0.875</v>
      </c>
      <c r="AO47" s="13" t="n">
        <v>775</v>
      </c>
      <c r="AP47" s="14" t="n">
        <v>0.945</v>
      </c>
      <c r="AQ47" s="13" t="n">
        <v>45</v>
      </c>
      <c r="AR47" s="14" t="n">
        <v>0.055</v>
      </c>
      <c r="AS47" s="13" t="n">
        <v>820</v>
      </c>
      <c r="AT47" s="13" t="n">
        <v>220</v>
      </c>
      <c r="AU47" s="14" t="n">
        <v>0.374</v>
      </c>
      <c r="AV47" s="13" t="n">
        <v>390</v>
      </c>
      <c r="AW47" s="14" t="n">
        <v>0.665</v>
      </c>
      <c r="AX47" s="13" t="n">
        <v>520</v>
      </c>
      <c r="AY47" s="14" t="n">
        <v>0.886</v>
      </c>
      <c r="AZ47" s="13" t="n">
        <v>555</v>
      </c>
      <c r="BA47" s="14" t="n">
        <v>0.947</v>
      </c>
      <c r="BB47" s="13" t="n">
        <v>30</v>
      </c>
      <c r="BC47" s="14" t="n">
        <v>0.053</v>
      </c>
      <c r="BD47" s="13" t="n">
        <v>590</v>
      </c>
      <c r="BE47" s="13" t="n">
        <v>180</v>
      </c>
      <c r="BF47" s="14" t="n">
        <v>0.273</v>
      </c>
      <c r="BG47" s="13" t="n">
        <v>305</v>
      </c>
      <c r="BH47" s="14" t="n">
        <v>0.466</v>
      </c>
      <c r="BI47" s="13" t="n">
        <v>420</v>
      </c>
      <c r="BJ47" s="14" t="n">
        <v>0.639</v>
      </c>
      <c r="BK47" s="13" t="n">
        <v>530</v>
      </c>
      <c r="BL47" s="14" t="n">
        <v>0.808</v>
      </c>
      <c r="BM47" s="13" t="n">
        <v>125</v>
      </c>
      <c r="BN47" s="14" t="n">
        <v>0.192</v>
      </c>
      <c r="BO47" s="13" t="n">
        <v>655</v>
      </c>
    </row>
    <row r="48" customFormat="false" ht="15" hidden="false" customHeight="false" outlineLevel="0" collapsed="false">
      <c r="A48" s="1" t="s">
        <v>169</v>
      </c>
      <c r="B48" s="13" t="n">
        <v>330</v>
      </c>
      <c r="C48" s="14" t="n">
        <v>0.12</v>
      </c>
      <c r="D48" s="13" t="n">
        <v>1290</v>
      </c>
      <c r="E48" s="14" t="n">
        <v>0.468</v>
      </c>
      <c r="F48" s="13" t="n">
        <v>2270</v>
      </c>
      <c r="G48" s="14" t="n">
        <v>0.825</v>
      </c>
      <c r="H48" s="13" t="n">
        <v>2640</v>
      </c>
      <c r="I48" s="14" t="n">
        <v>0.959</v>
      </c>
      <c r="J48" s="13" t="n">
        <v>110</v>
      </c>
      <c r="K48" s="14" t="n">
        <v>0.041</v>
      </c>
      <c r="L48" s="13" t="n">
        <v>2755</v>
      </c>
      <c r="M48" s="13" t="n">
        <v>365</v>
      </c>
      <c r="N48" s="14" t="n">
        <v>0.137</v>
      </c>
      <c r="O48" s="13" t="n">
        <v>1285</v>
      </c>
      <c r="P48" s="14" t="n">
        <v>0.481</v>
      </c>
      <c r="Q48" s="13" t="n">
        <v>2240</v>
      </c>
      <c r="R48" s="14" t="n">
        <v>0.839</v>
      </c>
      <c r="S48" s="13" t="n">
        <v>2550</v>
      </c>
      <c r="T48" s="14" t="n">
        <v>0.955</v>
      </c>
      <c r="U48" s="13" t="n">
        <v>120</v>
      </c>
      <c r="V48" s="14" t="n">
        <v>0.045</v>
      </c>
      <c r="W48" s="13" t="n">
        <v>2670</v>
      </c>
      <c r="X48" s="13" t="n">
        <v>545</v>
      </c>
      <c r="Y48" s="14" t="n">
        <v>0.201</v>
      </c>
      <c r="Z48" s="13" t="n">
        <v>1415</v>
      </c>
      <c r="AA48" s="14" t="n">
        <v>0.524</v>
      </c>
      <c r="AB48" s="13" t="n">
        <v>2220</v>
      </c>
      <c r="AC48" s="14" t="n">
        <v>0.821</v>
      </c>
      <c r="AD48" s="13" t="n">
        <v>2555</v>
      </c>
      <c r="AE48" s="14" t="n">
        <v>0.945</v>
      </c>
      <c r="AF48" s="13" t="n">
        <v>150</v>
      </c>
      <c r="AG48" s="14" t="n">
        <v>0.055</v>
      </c>
      <c r="AH48" s="13" t="n">
        <v>2705</v>
      </c>
      <c r="AI48" s="13" t="n">
        <v>1070</v>
      </c>
      <c r="AJ48" s="14" t="n">
        <v>0.422</v>
      </c>
      <c r="AK48" s="13" t="n">
        <v>1835</v>
      </c>
      <c r="AL48" s="14" t="n">
        <v>0.725</v>
      </c>
      <c r="AM48" s="13" t="n">
        <v>2335</v>
      </c>
      <c r="AN48" s="14" t="n">
        <v>0.922</v>
      </c>
      <c r="AO48" s="13" t="n">
        <v>2440</v>
      </c>
      <c r="AP48" s="14" t="n">
        <v>0.963</v>
      </c>
      <c r="AQ48" s="13" t="n">
        <v>95</v>
      </c>
      <c r="AR48" s="14" t="n">
        <v>0.037</v>
      </c>
      <c r="AS48" s="13" t="n">
        <v>2530</v>
      </c>
      <c r="AT48" s="13" t="n">
        <v>915</v>
      </c>
      <c r="AU48" s="14" t="n">
        <v>0.389</v>
      </c>
      <c r="AV48" s="13" t="n">
        <v>1690</v>
      </c>
      <c r="AW48" s="14" t="n">
        <v>0.718</v>
      </c>
      <c r="AX48" s="13" t="n">
        <v>2210</v>
      </c>
      <c r="AY48" s="14" t="n">
        <v>0.938</v>
      </c>
      <c r="AZ48" s="13" t="n">
        <v>2300</v>
      </c>
      <c r="BA48" s="14" t="n">
        <v>0.978</v>
      </c>
      <c r="BB48" s="13" t="n">
        <v>50</v>
      </c>
      <c r="BC48" s="14" t="n">
        <v>0.022</v>
      </c>
      <c r="BD48" s="13" t="n">
        <v>2355</v>
      </c>
      <c r="BE48" s="13" t="n">
        <v>525</v>
      </c>
      <c r="BF48" s="14" t="n">
        <v>0.212</v>
      </c>
      <c r="BG48" s="13" t="n">
        <v>1235</v>
      </c>
      <c r="BH48" s="14" t="n">
        <v>0.5</v>
      </c>
      <c r="BI48" s="13" t="n">
        <v>1935</v>
      </c>
      <c r="BJ48" s="14" t="n">
        <v>0.782</v>
      </c>
      <c r="BK48" s="13" t="n">
        <v>2260</v>
      </c>
      <c r="BL48" s="14" t="n">
        <v>0.913</v>
      </c>
      <c r="BM48" s="13" t="n">
        <v>215</v>
      </c>
      <c r="BN48" s="14" t="n">
        <v>0.087</v>
      </c>
      <c r="BO48" s="13" t="n">
        <v>2475</v>
      </c>
    </row>
    <row r="49" customFormat="false" ht="15" hidden="false" customHeight="false" outlineLevel="0" collapsed="false">
      <c r="A49" s="1" t="s">
        <v>43</v>
      </c>
      <c r="B49" s="13" t="n">
        <v>3170</v>
      </c>
      <c r="C49" s="14" t="n">
        <v>0.272</v>
      </c>
      <c r="D49" s="13" t="n">
        <v>6900</v>
      </c>
      <c r="E49" s="14" t="n">
        <v>0.592</v>
      </c>
      <c r="F49" s="13" t="n">
        <v>10105</v>
      </c>
      <c r="G49" s="14" t="n">
        <v>0.867</v>
      </c>
      <c r="H49" s="13" t="n">
        <v>11360</v>
      </c>
      <c r="I49" s="14" t="n">
        <v>0.974</v>
      </c>
      <c r="J49" s="13" t="n">
        <v>305</v>
      </c>
      <c r="K49" s="14" t="n">
        <v>0.026</v>
      </c>
      <c r="L49" s="13" t="n">
        <v>11665</v>
      </c>
      <c r="M49" s="13" t="n">
        <v>3765</v>
      </c>
      <c r="N49" s="14" t="n">
        <v>0.328</v>
      </c>
      <c r="O49" s="13" t="n">
        <v>7280</v>
      </c>
      <c r="P49" s="14" t="n">
        <v>0.634</v>
      </c>
      <c r="Q49" s="13" t="n">
        <v>10110</v>
      </c>
      <c r="R49" s="14" t="n">
        <v>0.88</v>
      </c>
      <c r="S49" s="13" t="n">
        <v>11155</v>
      </c>
      <c r="T49" s="14" t="n">
        <v>0.971</v>
      </c>
      <c r="U49" s="13" t="n">
        <v>330</v>
      </c>
      <c r="V49" s="14" t="n">
        <v>0.029</v>
      </c>
      <c r="W49" s="13" t="n">
        <v>11485</v>
      </c>
      <c r="X49" s="13" t="n">
        <v>3580</v>
      </c>
      <c r="Y49" s="14" t="n">
        <v>0.302</v>
      </c>
      <c r="Z49" s="13" t="n">
        <v>7525</v>
      </c>
      <c r="AA49" s="14" t="n">
        <v>0.635</v>
      </c>
      <c r="AB49" s="13" t="n">
        <v>10405</v>
      </c>
      <c r="AC49" s="14" t="n">
        <v>0.878</v>
      </c>
      <c r="AD49" s="13" t="n">
        <v>11540</v>
      </c>
      <c r="AE49" s="14" t="n">
        <v>0.974</v>
      </c>
      <c r="AF49" s="13" t="n">
        <v>310</v>
      </c>
      <c r="AG49" s="14" t="n">
        <v>0.026</v>
      </c>
      <c r="AH49" s="13" t="n">
        <v>11850</v>
      </c>
      <c r="AI49" s="13" t="n">
        <v>5340</v>
      </c>
      <c r="AJ49" s="14" t="n">
        <v>0.453</v>
      </c>
      <c r="AK49" s="13" t="n">
        <v>8510</v>
      </c>
      <c r="AL49" s="14" t="n">
        <v>0.721</v>
      </c>
      <c r="AM49" s="13" t="n">
        <v>10955</v>
      </c>
      <c r="AN49" s="14" t="n">
        <v>0.928</v>
      </c>
      <c r="AO49" s="13" t="n">
        <v>11615</v>
      </c>
      <c r="AP49" s="14" t="n">
        <v>0.984</v>
      </c>
      <c r="AQ49" s="13" t="n">
        <v>190</v>
      </c>
      <c r="AR49" s="14" t="n">
        <v>0.016</v>
      </c>
      <c r="AS49" s="13" t="n">
        <v>11805</v>
      </c>
      <c r="AT49" s="13" t="n">
        <v>4125</v>
      </c>
      <c r="AU49" s="14" t="n">
        <v>0.387</v>
      </c>
      <c r="AV49" s="13" t="n">
        <v>7535</v>
      </c>
      <c r="AW49" s="14" t="n">
        <v>0.708</v>
      </c>
      <c r="AX49" s="13" t="n">
        <v>10025</v>
      </c>
      <c r="AY49" s="14" t="n">
        <v>0.942</v>
      </c>
      <c r="AZ49" s="13" t="n">
        <v>10550</v>
      </c>
      <c r="BA49" s="14" t="n">
        <v>0.991</v>
      </c>
      <c r="BB49" s="13" t="n">
        <v>90</v>
      </c>
      <c r="BC49" s="14" t="n">
        <v>0.009</v>
      </c>
      <c r="BD49" s="13" t="n">
        <v>10645</v>
      </c>
      <c r="BE49" s="13" t="n">
        <v>2715</v>
      </c>
      <c r="BF49" s="14" t="n">
        <v>0.275</v>
      </c>
      <c r="BG49" s="13" t="n">
        <v>5950</v>
      </c>
      <c r="BH49" s="14" t="n">
        <v>0.601</v>
      </c>
      <c r="BI49" s="13" t="n">
        <v>8700</v>
      </c>
      <c r="BJ49" s="14" t="n">
        <v>0.879</v>
      </c>
      <c r="BK49" s="13" t="n">
        <v>9665</v>
      </c>
      <c r="BL49" s="14" t="n">
        <v>0.977</v>
      </c>
      <c r="BM49" s="13" t="n">
        <v>230</v>
      </c>
      <c r="BN49" s="14" t="n">
        <v>0.023</v>
      </c>
      <c r="BO49" s="13" t="n">
        <v>9895</v>
      </c>
    </row>
    <row r="50" customFormat="false" ht="15" hidden="false" customHeight="false" outlineLevel="0" collapsed="false">
      <c r="A50" s="1" t="s">
        <v>74</v>
      </c>
      <c r="B50" s="13" t="n">
        <v>2330</v>
      </c>
      <c r="C50" s="14" t="n">
        <v>0.289</v>
      </c>
      <c r="D50" s="13" t="n">
        <v>4255</v>
      </c>
      <c r="E50" s="14" t="n">
        <v>0.527</v>
      </c>
      <c r="F50" s="13" t="n">
        <v>6105</v>
      </c>
      <c r="G50" s="14" t="n">
        <v>0.757</v>
      </c>
      <c r="H50" s="13" t="n">
        <v>7295</v>
      </c>
      <c r="I50" s="14" t="n">
        <v>0.905</v>
      </c>
      <c r="J50" s="13" t="n">
        <v>770</v>
      </c>
      <c r="K50" s="14" t="n">
        <v>0.095</v>
      </c>
      <c r="L50" s="13" t="n">
        <v>8065</v>
      </c>
      <c r="M50" s="13" t="n">
        <v>2725</v>
      </c>
      <c r="N50" s="14" t="n">
        <v>0.341</v>
      </c>
      <c r="O50" s="13" t="n">
        <v>4685</v>
      </c>
      <c r="P50" s="14" t="n">
        <v>0.586</v>
      </c>
      <c r="Q50" s="13" t="n">
        <v>6175</v>
      </c>
      <c r="R50" s="14" t="n">
        <v>0.772</v>
      </c>
      <c r="S50" s="13" t="n">
        <v>7235</v>
      </c>
      <c r="T50" s="14" t="n">
        <v>0.905</v>
      </c>
      <c r="U50" s="13" t="n">
        <v>760</v>
      </c>
      <c r="V50" s="14" t="n">
        <v>0.095</v>
      </c>
      <c r="W50" s="13" t="n">
        <v>7995</v>
      </c>
      <c r="X50" s="13" t="n">
        <v>2975</v>
      </c>
      <c r="Y50" s="14" t="n">
        <v>0.37</v>
      </c>
      <c r="Z50" s="13" t="n">
        <v>4820</v>
      </c>
      <c r="AA50" s="14" t="n">
        <v>0.599</v>
      </c>
      <c r="AB50" s="13" t="n">
        <v>6270</v>
      </c>
      <c r="AC50" s="14" t="n">
        <v>0.779</v>
      </c>
      <c r="AD50" s="13" t="n">
        <v>7235</v>
      </c>
      <c r="AE50" s="14" t="n">
        <v>0.899</v>
      </c>
      <c r="AF50" s="13" t="n">
        <v>815</v>
      </c>
      <c r="AG50" s="14" t="n">
        <v>0.101</v>
      </c>
      <c r="AH50" s="13" t="n">
        <v>8045</v>
      </c>
      <c r="AI50" s="13" t="n">
        <v>3600</v>
      </c>
      <c r="AJ50" s="14" t="n">
        <v>0.424</v>
      </c>
      <c r="AK50" s="13" t="n">
        <v>5320</v>
      </c>
      <c r="AL50" s="14" t="n">
        <v>0.627</v>
      </c>
      <c r="AM50" s="13" t="n">
        <v>6850</v>
      </c>
      <c r="AN50" s="14" t="n">
        <v>0.808</v>
      </c>
      <c r="AO50" s="13" t="n">
        <v>7665</v>
      </c>
      <c r="AP50" s="14" t="n">
        <v>0.904</v>
      </c>
      <c r="AQ50" s="13" t="n">
        <v>815</v>
      </c>
      <c r="AR50" s="14" t="n">
        <v>0.096</v>
      </c>
      <c r="AS50" s="13" t="n">
        <v>8480</v>
      </c>
      <c r="AT50" s="13" t="n">
        <v>3485</v>
      </c>
      <c r="AU50" s="14" t="n">
        <v>0.415</v>
      </c>
      <c r="AV50" s="13" t="n">
        <v>5490</v>
      </c>
      <c r="AW50" s="14" t="n">
        <v>0.654</v>
      </c>
      <c r="AX50" s="13" t="n">
        <v>7270</v>
      </c>
      <c r="AY50" s="14" t="n">
        <v>0.866</v>
      </c>
      <c r="AZ50" s="13" t="n">
        <v>7970</v>
      </c>
      <c r="BA50" s="14" t="n">
        <v>0.95</v>
      </c>
      <c r="BB50" s="13" t="n">
        <v>420</v>
      </c>
      <c r="BC50" s="14" t="n">
        <v>0.05</v>
      </c>
      <c r="BD50" s="13" t="n">
        <v>8390</v>
      </c>
      <c r="BE50" s="13" t="n">
        <v>2390</v>
      </c>
      <c r="BF50" s="14" t="n">
        <v>0.287</v>
      </c>
      <c r="BG50" s="13" t="n">
        <v>4380</v>
      </c>
      <c r="BH50" s="14" t="n">
        <v>0.526</v>
      </c>
      <c r="BI50" s="13" t="n">
        <v>6240</v>
      </c>
      <c r="BJ50" s="14" t="n">
        <v>0.749</v>
      </c>
      <c r="BK50" s="13" t="n">
        <v>7565</v>
      </c>
      <c r="BL50" s="14" t="n">
        <v>0.909</v>
      </c>
      <c r="BM50" s="13" t="n">
        <v>760</v>
      </c>
      <c r="BN50" s="14" t="n">
        <v>0.091</v>
      </c>
      <c r="BO50" s="13" t="n">
        <v>8325</v>
      </c>
    </row>
    <row r="51" customFormat="false" ht="15" hidden="false" customHeight="false" outlineLevel="0" collapsed="false">
      <c r="A51" s="1" t="s">
        <v>170</v>
      </c>
      <c r="B51" s="13" t="n">
        <v>565</v>
      </c>
      <c r="C51" s="14" t="n">
        <v>0.276</v>
      </c>
      <c r="D51" s="13" t="n">
        <v>1025</v>
      </c>
      <c r="E51" s="14" t="n">
        <v>0.501</v>
      </c>
      <c r="F51" s="13" t="n">
        <v>1455</v>
      </c>
      <c r="G51" s="14" t="n">
        <v>0.709</v>
      </c>
      <c r="H51" s="13" t="n">
        <v>1735</v>
      </c>
      <c r="I51" s="14" t="n">
        <v>0.846</v>
      </c>
      <c r="J51" s="13" t="n">
        <v>315</v>
      </c>
      <c r="K51" s="14" t="n">
        <v>0.154</v>
      </c>
      <c r="L51" s="13" t="n">
        <v>2050</v>
      </c>
      <c r="M51" s="13" t="n">
        <v>750</v>
      </c>
      <c r="N51" s="14" t="n">
        <v>0.351</v>
      </c>
      <c r="O51" s="13" t="n">
        <v>1285</v>
      </c>
      <c r="P51" s="14" t="n">
        <v>0.602</v>
      </c>
      <c r="Q51" s="13" t="n">
        <v>1665</v>
      </c>
      <c r="R51" s="14" t="n">
        <v>0.78</v>
      </c>
      <c r="S51" s="13" t="n">
        <v>1920</v>
      </c>
      <c r="T51" s="14" t="n">
        <v>0.898</v>
      </c>
      <c r="U51" s="13" t="n">
        <v>220</v>
      </c>
      <c r="V51" s="14" t="n">
        <v>0.102</v>
      </c>
      <c r="W51" s="13" t="n">
        <v>2135</v>
      </c>
      <c r="X51" s="13" t="n">
        <v>605</v>
      </c>
      <c r="Y51" s="14" t="n">
        <v>0.312</v>
      </c>
      <c r="Z51" s="13" t="n">
        <v>1110</v>
      </c>
      <c r="AA51" s="14" t="n">
        <v>0.575</v>
      </c>
      <c r="AB51" s="13" t="n">
        <v>1510</v>
      </c>
      <c r="AC51" s="14" t="n">
        <v>0.782</v>
      </c>
      <c r="AD51" s="13" t="n">
        <v>1755</v>
      </c>
      <c r="AE51" s="14" t="n">
        <v>0.907</v>
      </c>
      <c r="AF51" s="13" t="n">
        <v>180</v>
      </c>
      <c r="AG51" s="14" t="n">
        <v>0.093</v>
      </c>
      <c r="AH51" s="13" t="n">
        <v>1935</v>
      </c>
      <c r="AI51" s="13" t="n">
        <v>1005</v>
      </c>
      <c r="AJ51" s="14" t="n">
        <v>0.554</v>
      </c>
      <c r="AK51" s="13" t="n">
        <v>1415</v>
      </c>
      <c r="AL51" s="14" t="n">
        <v>0.778</v>
      </c>
      <c r="AM51" s="13" t="n">
        <v>1685</v>
      </c>
      <c r="AN51" s="14" t="n">
        <v>0.928</v>
      </c>
      <c r="AO51" s="13" t="n">
        <v>1755</v>
      </c>
      <c r="AP51" s="14" t="n">
        <v>0.966</v>
      </c>
      <c r="AQ51" s="13" t="n">
        <v>60</v>
      </c>
      <c r="AR51" s="14" t="n">
        <v>0.034</v>
      </c>
      <c r="AS51" s="13" t="n">
        <v>1815</v>
      </c>
      <c r="AT51" s="13" t="n">
        <v>625</v>
      </c>
      <c r="AU51" s="14" t="n">
        <v>0.477</v>
      </c>
      <c r="AV51" s="13" t="n">
        <v>960</v>
      </c>
      <c r="AW51" s="14" t="n">
        <v>0.73</v>
      </c>
      <c r="AX51" s="13" t="n">
        <v>1210</v>
      </c>
      <c r="AY51" s="14" t="n">
        <v>0.922</v>
      </c>
      <c r="AZ51" s="13" t="n">
        <v>1265</v>
      </c>
      <c r="BA51" s="14" t="n">
        <v>0.964</v>
      </c>
      <c r="BB51" s="13" t="n">
        <v>45</v>
      </c>
      <c r="BC51" s="14" t="n">
        <v>0.036</v>
      </c>
      <c r="BD51" s="13" t="n">
        <v>1310</v>
      </c>
      <c r="BE51" s="13" t="n">
        <v>415</v>
      </c>
      <c r="BF51" s="14" t="n">
        <v>0.344</v>
      </c>
      <c r="BG51" s="13" t="n">
        <v>780</v>
      </c>
      <c r="BH51" s="14" t="n">
        <v>0.642</v>
      </c>
      <c r="BI51" s="13" t="n">
        <v>1015</v>
      </c>
      <c r="BJ51" s="14" t="n">
        <v>0.838</v>
      </c>
      <c r="BK51" s="13" t="n">
        <v>1130</v>
      </c>
      <c r="BL51" s="14" t="n">
        <v>0.933</v>
      </c>
      <c r="BM51" s="13" t="n">
        <v>80</v>
      </c>
      <c r="BN51" s="14" t="n">
        <v>0.067</v>
      </c>
      <c r="BO51" s="13" t="n">
        <v>1215</v>
      </c>
    </row>
    <row r="52" customFormat="false" ht="15" hidden="false" customHeight="false" outlineLevel="0" collapsed="false">
      <c r="A52" s="1" t="s">
        <v>164</v>
      </c>
      <c r="B52" s="13" t="n">
        <v>540</v>
      </c>
      <c r="C52" s="14" t="n">
        <v>0.216</v>
      </c>
      <c r="D52" s="13" t="n">
        <v>1165</v>
      </c>
      <c r="E52" s="14" t="n">
        <v>0.466</v>
      </c>
      <c r="F52" s="13" t="n">
        <v>1730</v>
      </c>
      <c r="G52" s="14" t="n">
        <v>0.694</v>
      </c>
      <c r="H52" s="13" t="n">
        <v>2170</v>
      </c>
      <c r="I52" s="14" t="n">
        <v>0.87</v>
      </c>
      <c r="J52" s="13" t="n">
        <v>325</v>
      </c>
      <c r="K52" s="14" t="n">
        <v>0.13</v>
      </c>
      <c r="L52" s="13" t="n">
        <v>2495</v>
      </c>
      <c r="M52" s="13" t="n">
        <v>975</v>
      </c>
      <c r="N52" s="14" t="n">
        <v>0.333</v>
      </c>
      <c r="O52" s="13" t="n">
        <v>1580</v>
      </c>
      <c r="P52" s="14" t="n">
        <v>0.539</v>
      </c>
      <c r="Q52" s="13" t="n">
        <v>2060</v>
      </c>
      <c r="R52" s="14" t="n">
        <v>0.703</v>
      </c>
      <c r="S52" s="13" t="n">
        <v>2430</v>
      </c>
      <c r="T52" s="14" t="n">
        <v>0.828</v>
      </c>
      <c r="U52" s="13" t="n">
        <v>505</v>
      </c>
      <c r="V52" s="14" t="n">
        <v>0.172</v>
      </c>
      <c r="W52" s="13" t="n">
        <v>2930</v>
      </c>
      <c r="X52" s="13" t="n">
        <v>820</v>
      </c>
      <c r="Y52" s="14" t="n">
        <v>0.26</v>
      </c>
      <c r="Z52" s="13" t="n">
        <v>1530</v>
      </c>
      <c r="AA52" s="14" t="n">
        <v>0.485</v>
      </c>
      <c r="AB52" s="13" t="n">
        <v>2170</v>
      </c>
      <c r="AC52" s="14" t="n">
        <v>0.686</v>
      </c>
      <c r="AD52" s="13" t="n">
        <v>2645</v>
      </c>
      <c r="AE52" s="14" t="n">
        <v>0.836</v>
      </c>
      <c r="AF52" s="13" t="n">
        <v>520</v>
      </c>
      <c r="AG52" s="14" t="n">
        <v>0.164</v>
      </c>
      <c r="AH52" s="13" t="n">
        <v>3160</v>
      </c>
      <c r="AI52" s="13" t="n">
        <v>1490</v>
      </c>
      <c r="AJ52" s="14" t="n">
        <v>0.494</v>
      </c>
      <c r="AK52" s="13" t="n">
        <v>2110</v>
      </c>
      <c r="AL52" s="14" t="n">
        <v>0.7</v>
      </c>
      <c r="AM52" s="13" t="n">
        <v>2570</v>
      </c>
      <c r="AN52" s="14" t="n">
        <v>0.853</v>
      </c>
      <c r="AO52" s="13" t="n">
        <v>2750</v>
      </c>
      <c r="AP52" s="14" t="n">
        <v>0.914</v>
      </c>
      <c r="AQ52" s="13" t="n">
        <v>260</v>
      </c>
      <c r="AR52" s="14" t="n">
        <v>0.086</v>
      </c>
      <c r="AS52" s="13" t="n">
        <v>3010</v>
      </c>
      <c r="AT52" s="13" t="n">
        <v>1025</v>
      </c>
      <c r="AU52" s="14" t="n">
        <v>0.33</v>
      </c>
      <c r="AV52" s="13" t="n">
        <v>1840</v>
      </c>
      <c r="AW52" s="14" t="n">
        <v>0.592</v>
      </c>
      <c r="AX52" s="13" t="n">
        <v>2565</v>
      </c>
      <c r="AY52" s="14" t="n">
        <v>0.826</v>
      </c>
      <c r="AZ52" s="13" t="n">
        <v>2820</v>
      </c>
      <c r="BA52" s="14" t="n">
        <v>0.909</v>
      </c>
      <c r="BB52" s="13" t="n">
        <v>285</v>
      </c>
      <c r="BC52" s="14" t="n">
        <v>0.091</v>
      </c>
      <c r="BD52" s="13" t="n">
        <v>3105</v>
      </c>
      <c r="BE52" s="13" t="n">
        <v>390</v>
      </c>
      <c r="BF52" s="14" t="n">
        <v>0.115</v>
      </c>
      <c r="BG52" s="13" t="n">
        <v>875</v>
      </c>
      <c r="BH52" s="14" t="n">
        <v>0.257</v>
      </c>
      <c r="BI52" s="13" t="n">
        <v>1520</v>
      </c>
      <c r="BJ52" s="14" t="n">
        <v>0.446</v>
      </c>
      <c r="BK52" s="13" t="n">
        <v>2205</v>
      </c>
      <c r="BL52" s="14" t="n">
        <v>0.646</v>
      </c>
      <c r="BM52" s="13" t="n">
        <v>1205</v>
      </c>
      <c r="BN52" s="14" t="n">
        <v>0.354</v>
      </c>
      <c r="BO52" s="13" t="n">
        <v>3410</v>
      </c>
    </row>
    <row r="53" customFormat="false" ht="15" hidden="false" customHeight="false" outlineLevel="0" collapsed="false">
      <c r="A53" s="1" t="s">
        <v>76</v>
      </c>
      <c r="B53" s="13" t="n">
        <v>1420</v>
      </c>
      <c r="C53" s="14" t="n">
        <v>0.407</v>
      </c>
      <c r="D53" s="13" t="n">
        <v>2105</v>
      </c>
      <c r="E53" s="14" t="n">
        <v>0.603</v>
      </c>
      <c r="F53" s="13" t="n">
        <v>2635</v>
      </c>
      <c r="G53" s="14" t="n">
        <v>0.755</v>
      </c>
      <c r="H53" s="13" t="n">
        <v>3050</v>
      </c>
      <c r="I53" s="14" t="n">
        <v>0.873</v>
      </c>
      <c r="J53" s="13" t="n">
        <v>445</v>
      </c>
      <c r="K53" s="14" t="n">
        <v>0.127</v>
      </c>
      <c r="L53" s="13" t="n">
        <v>3490</v>
      </c>
      <c r="M53" s="13" t="n">
        <v>885</v>
      </c>
      <c r="N53" s="14" t="n">
        <v>0.227</v>
      </c>
      <c r="O53" s="13" t="n">
        <v>1780</v>
      </c>
      <c r="P53" s="14" t="n">
        <v>0.457</v>
      </c>
      <c r="Q53" s="13" t="n">
        <v>2660</v>
      </c>
      <c r="R53" s="14" t="n">
        <v>0.684</v>
      </c>
      <c r="S53" s="13" t="n">
        <v>3285</v>
      </c>
      <c r="T53" s="14" t="n">
        <v>0.845</v>
      </c>
      <c r="U53" s="13" t="n">
        <v>605</v>
      </c>
      <c r="V53" s="14" t="n">
        <v>0.155</v>
      </c>
      <c r="W53" s="13" t="n">
        <v>3890</v>
      </c>
      <c r="X53" s="13" t="n">
        <v>905</v>
      </c>
      <c r="Y53" s="14" t="n">
        <v>0.256</v>
      </c>
      <c r="Z53" s="13" t="n">
        <v>1705</v>
      </c>
      <c r="AA53" s="14" t="n">
        <v>0.482</v>
      </c>
      <c r="AB53" s="13" t="n">
        <v>2475</v>
      </c>
      <c r="AC53" s="14" t="n">
        <v>0.699</v>
      </c>
      <c r="AD53" s="13" t="n">
        <v>3065</v>
      </c>
      <c r="AE53" s="14" t="n">
        <v>0.866</v>
      </c>
      <c r="AF53" s="13" t="n">
        <v>475</v>
      </c>
      <c r="AG53" s="14" t="n">
        <v>0.134</v>
      </c>
      <c r="AH53" s="13" t="n">
        <v>3540</v>
      </c>
      <c r="AI53" s="13" t="n">
        <v>2175</v>
      </c>
      <c r="AJ53" s="14" t="n">
        <v>0.562</v>
      </c>
      <c r="AK53" s="13" t="n">
        <v>2955</v>
      </c>
      <c r="AL53" s="14" t="n">
        <v>0.764</v>
      </c>
      <c r="AM53" s="13" t="n">
        <v>3490</v>
      </c>
      <c r="AN53" s="14" t="n">
        <v>0.901</v>
      </c>
      <c r="AO53" s="13" t="n">
        <v>3680</v>
      </c>
      <c r="AP53" s="14" t="n">
        <v>0.951</v>
      </c>
      <c r="AQ53" s="13" t="n">
        <v>190</v>
      </c>
      <c r="AR53" s="14" t="n">
        <v>0.049</v>
      </c>
      <c r="AS53" s="13" t="n">
        <v>3870</v>
      </c>
      <c r="AT53" s="13" t="n">
        <v>1550</v>
      </c>
      <c r="AU53" s="14" t="n">
        <v>0.44</v>
      </c>
      <c r="AV53" s="13" t="n">
        <v>2510</v>
      </c>
      <c r="AW53" s="14" t="n">
        <v>0.711</v>
      </c>
      <c r="AX53" s="13" t="n">
        <v>3215</v>
      </c>
      <c r="AY53" s="14" t="n">
        <v>0.91</v>
      </c>
      <c r="AZ53" s="13" t="n">
        <v>3430</v>
      </c>
      <c r="BA53" s="14" t="n">
        <v>0.972</v>
      </c>
      <c r="BB53" s="13" t="n">
        <v>100</v>
      </c>
      <c r="BC53" s="14" t="n">
        <v>0.028</v>
      </c>
      <c r="BD53" s="13" t="n">
        <v>3530</v>
      </c>
      <c r="BE53" s="13" t="n">
        <v>1035</v>
      </c>
      <c r="BF53" s="14" t="n">
        <v>0.288</v>
      </c>
      <c r="BG53" s="13" t="n">
        <v>1810</v>
      </c>
      <c r="BH53" s="14" t="n">
        <v>0.503</v>
      </c>
      <c r="BI53" s="13" t="n">
        <v>2485</v>
      </c>
      <c r="BJ53" s="14" t="n">
        <v>0.691</v>
      </c>
      <c r="BK53" s="13" t="n">
        <v>2995</v>
      </c>
      <c r="BL53" s="14" t="n">
        <v>0.832</v>
      </c>
      <c r="BM53" s="13" t="n">
        <v>605</v>
      </c>
      <c r="BN53" s="14" t="n">
        <v>0.168</v>
      </c>
      <c r="BO53" s="13" t="n">
        <v>3600</v>
      </c>
    </row>
    <row r="54" customFormat="false" ht="15" hidden="false" customHeight="false" outlineLevel="0" collapsed="false">
      <c r="A54" s="1" t="s">
        <v>165</v>
      </c>
      <c r="B54" s="13" t="n">
        <v>360</v>
      </c>
      <c r="C54" s="14" t="n">
        <v>0.407</v>
      </c>
      <c r="D54" s="13" t="n">
        <v>500</v>
      </c>
      <c r="E54" s="14" t="n">
        <v>0.564</v>
      </c>
      <c r="F54" s="13" t="n">
        <v>615</v>
      </c>
      <c r="G54" s="14" t="n">
        <v>0.695</v>
      </c>
      <c r="H54" s="13" t="n">
        <v>725</v>
      </c>
      <c r="I54" s="14" t="n">
        <v>0.82</v>
      </c>
      <c r="J54" s="13" t="n">
        <v>160</v>
      </c>
      <c r="K54" s="14" t="n">
        <v>0.18</v>
      </c>
      <c r="L54" s="13" t="n">
        <v>885</v>
      </c>
      <c r="M54" s="13" t="n">
        <v>300</v>
      </c>
      <c r="N54" s="14" t="n">
        <v>0.353</v>
      </c>
      <c r="O54" s="13" t="n">
        <v>475</v>
      </c>
      <c r="P54" s="14" t="n">
        <v>0.564</v>
      </c>
      <c r="Q54" s="13" t="n">
        <v>620</v>
      </c>
      <c r="R54" s="14" t="n">
        <v>0.734</v>
      </c>
      <c r="S54" s="13" t="n">
        <v>720</v>
      </c>
      <c r="T54" s="14" t="n">
        <v>0.852</v>
      </c>
      <c r="U54" s="13" t="n">
        <v>125</v>
      </c>
      <c r="V54" s="14" t="n">
        <v>0.148</v>
      </c>
      <c r="W54" s="13" t="n">
        <v>845</v>
      </c>
      <c r="X54" s="13" t="n">
        <v>275</v>
      </c>
      <c r="Y54" s="14" t="n">
        <v>0.292</v>
      </c>
      <c r="Z54" s="13" t="n">
        <v>455</v>
      </c>
      <c r="AA54" s="14" t="n">
        <v>0.486</v>
      </c>
      <c r="AB54" s="13" t="n">
        <v>615</v>
      </c>
      <c r="AC54" s="14" t="n">
        <v>0.655</v>
      </c>
      <c r="AD54" s="13" t="n">
        <v>760</v>
      </c>
      <c r="AE54" s="14" t="n">
        <v>0.81</v>
      </c>
      <c r="AF54" s="13" t="n">
        <v>180</v>
      </c>
      <c r="AG54" s="14" t="n">
        <v>0.19</v>
      </c>
      <c r="AH54" s="13" t="n">
        <v>935</v>
      </c>
      <c r="AI54" s="13" t="n">
        <v>440</v>
      </c>
      <c r="AJ54" s="14" t="n">
        <v>0.531</v>
      </c>
      <c r="AK54" s="13" t="n">
        <v>620</v>
      </c>
      <c r="AL54" s="14" t="n">
        <v>0.743</v>
      </c>
      <c r="AM54" s="13" t="n">
        <v>730</v>
      </c>
      <c r="AN54" s="14" t="n">
        <v>0.879</v>
      </c>
      <c r="AO54" s="13" t="n">
        <v>765</v>
      </c>
      <c r="AP54" s="14" t="n">
        <v>0.919</v>
      </c>
      <c r="AQ54" s="13" t="n">
        <v>65</v>
      </c>
      <c r="AR54" s="14" t="n">
        <v>0.081</v>
      </c>
      <c r="AS54" s="13" t="n">
        <v>830</v>
      </c>
      <c r="AT54" s="13" t="n">
        <v>280</v>
      </c>
      <c r="AU54" s="14" t="n">
        <v>0.371</v>
      </c>
      <c r="AV54" s="13" t="n">
        <v>470</v>
      </c>
      <c r="AW54" s="14" t="n">
        <v>0.62</v>
      </c>
      <c r="AX54" s="13" t="n">
        <v>620</v>
      </c>
      <c r="AY54" s="14" t="n">
        <v>0.818</v>
      </c>
      <c r="AZ54" s="13" t="n">
        <v>685</v>
      </c>
      <c r="BA54" s="14" t="n">
        <v>0.908</v>
      </c>
      <c r="BB54" s="13" t="n">
        <v>70</v>
      </c>
      <c r="BC54" s="14" t="n">
        <v>0.092</v>
      </c>
      <c r="BD54" s="13" t="n">
        <v>755</v>
      </c>
      <c r="BE54" s="13" t="n">
        <v>190</v>
      </c>
      <c r="BF54" s="14" t="n">
        <v>0.203</v>
      </c>
      <c r="BG54" s="13" t="n">
        <v>360</v>
      </c>
      <c r="BH54" s="14" t="n">
        <v>0.391</v>
      </c>
      <c r="BI54" s="13" t="n">
        <v>550</v>
      </c>
      <c r="BJ54" s="14" t="n">
        <v>0.591</v>
      </c>
      <c r="BK54" s="13" t="n">
        <v>695</v>
      </c>
      <c r="BL54" s="14" t="n">
        <v>0.752</v>
      </c>
      <c r="BM54" s="13" t="n">
        <v>230</v>
      </c>
      <c r="BN54" s="14" t="n">
        <v>0.248</v>
      </c>
      <c r="BO54" s="13" t="n">
        <v>925</v>
      </c>
    </row>
    <row r="55" customFormat="false" ht="15" hidden="false" customHeight="false" outlineLevel="0" collapsed="false">
      <c r="A55" s="1" t="s">
        <v>47</v>
      </c>
      <c r="B55" s="13" t="n">
        <v>1455</v>
      </c>
      <c r="C55" s="14" t="n">
        <v>0.48</v>
      </c>
      <c r="D55" s="13" t="n">
        <v>2025</v>
      </c>
      <c r="E55" s="14" t="n">
        <v>0.668</v>
      </c>
      <c r="F55" s="13" t="n">
        <v>2530</v>
      </c>
      <c r="G55" s="14" t="n">
        <v>0.834</v>
      </c>
      <c r="H55" s="13" t="n">
        <v>2830</v>
      </c>
      <c r="I55" s="14" t="n">
        <v>0.933</v>
      </c>
      <c r="J55" s="13" t="n">
        <v>205</v>
      </c>
      <c r="K55" s="14" t="n">
        <v>0.067</v>
      </c>
      <c r="L55" s="13" t="n">
        <v>3035</v>
      </c>
      <c r="M55" s="13" t="n">
        <v>1315</v>
      </c>
      <c r="N55" s="14" t="n">
        <v>0.505</v>
      </c>
      <c r="O55" s="13" t="n">
        <v>1790</v>
      </c>
      <c r="P55" s="14" t="n">
        <v>0.687</v>
      </c>
      <c r="Q55" s="13" t="n">
        <v>2175</v>
      </c>
      <c r="R55" s="14" t="n">
        <v>0.835</v>
      </c>
      <c r="S55" s="13" t="n">
        <v>2420</v>
      </c>
      <c r="T55" s="14" t="n">
        <v>0.929</v>
      </c>
      <c r="U55" s="13" t="n">
        <v>185</v>
      </c>
      <c r="V55" s="14" t="n">
        <v>0.071</v>
      </c>
      <c r="W55" s="13" t="n">
        <v>2605</v>
      </c>
      <c r="X55" s="13" t="n">
        <v>1295</v>
      </c>
      <c r="Y55" s="14" t="n">
        <v>0.526</v>
      </c>
      <c r="Z55" s="13" t="n">
        <v>1700</v>
      </c>
      <c r="AA55" s="14" t="n">
        <v>0.691</v>
      </c>
      <c r="AB55" s="13" t="n">
        <v>2050</v>
      </c>
      <c r="AC55" s="14" t="n">
        <v>0.833</v>
      </c>
      <c r="AD55" s="13" t="n">
        <v>2290</v>
      </c>
      <c r="AE55" s="14" t="n">
        <v>0.93</v>
      </c>
      <c r="AF55" s="13" t="n">
        <v>170</v>
      </c>
      <c r="AG55" s="14" t="n">
        <v>0.07</v>
      </c>
      <c r="AH55" s="13" t="n">
        <v>2465</v>
      </c>
      <c r="AI55" s="13" t="n">
        <v>2000</v>
      </c>
      <c r="AJ55" s="14" t="n">
        <v>0.664</v>
      </c>
      <c r="AK55" s="13" t="n">
        <v>2510</v>
      </c>
      <c r="AL55" s="14" t="n">
        <v>0.833</v>
      </c>
      <c r="AM55" s="13" t="n">
        <v>2840</v>
      </c>
      <c r="AN55" s="14" t="n">
        <v>0.942</v>
      </c>
      <c r="AO55" s="13" t="n">
        <v>2960</v>
      </c>
      <c r="AP55" s="14" t="n">
        <v>0.982</v>
      </c>
      <c r="AQ55" s="13" t="n">
        <v>55</v>
      </c>
      <c r="AR55" s="14" t="n">
        <v>0.018</v>
      </c>
      <c r="AS55" s="13" t="n">
        <v>3015</v>
      </c>
      <c r="AT55" s="13" t="n">
        <v>1765</v>
      </c>
      <c r="AU55" s="14" t="n">
        <v>0.608</v>
      </c>
      <c r="AV55" s="13" t="n">
        <v>2385</v>
      </c>
      <c r="AW55" s="14" t="n">
        <v>0.822</v>
      </c>
      <c r="AX55" s="13" t="n">
        <v>2790</v>
      </c>
      <c r="AY55" s="14" t="n">
        <v>0.961</v>
      </c>
      <c r="AZ55" s="13" t="n">
        <v>2875</v>
      </c>
      <c r="BA55" s="14" t="n">
        <v>0.991</v>
      </c>
      <c r="BB55" s="13" t="n">
        <v>25</v>
      </c>
      <c r="BC55" s="14" t="n">
        <v>0.009</v>
      </c>
      <c r="BD55" s="13" t="n">
        <v>2900</v>
      </c>
      <c r="BE55" s="13" t="n">
        <v>1440</v>
      </c>
      <c r="BF55" s="14" t="n">
        <v>0.471</v>
      </c>
      <c r="BG55" s="13" t="n">
        <v>2030</v>
      </c>
      <c r="BH55" s="14" t="n">
        <v>0.664</v>
      </c>
      <c r="BI55" s="13" t="n">
        <v>2545</v>
      </c>
      <c r="BJ55" s="14" t="n">
        <v>0.833</v>
      </c>
      <c r="BK55" s="13" t="n">
        <v>2865</v>
      </c>
      <c r="BL55" s="14" t="n">
        <v>0.938</v>
      </c>
      <c r="BM55" s="13" t="n">
        <v>190</v>
      </c>
      <c r="BN55" s="14" t="n">
        <v>0.062</v>
      </c>
      <c r="BO55" s="13" t="n">
        <v>3055</v>
      </c>
    </row>
    <row r="56" customFormat="false" ht="15" hidden="false" customHeight="false" outlineLevel="0" collapsed="false">
      <c r="A56" s="1" t="s">
        <v>78</v>
      </c>
      <c r="B56" s="13" t="n">
        <v>100</v>
      </c>
      <c r="C56" s="14" t="s">
        <v>33</v>
      </c>
      <c r="D56" s="13" t="n">
        <v>100</v>
      </c>
      <c r="E56" s="14" t="s">
        <v>33</v>
      </c>
      <c r="F56" s="13" t="n">
        <v>100</v>
      </c>
      <c r="G56" s="14" t="s">
        <v>33</v>
      </c>
      <c r="H56" s="13" t="n">
        <v>100</v>
      </c>
      <c r="I56" s="14" t="s">
        <v>33</v>
      </c>
      <c r="J56" s="13" t="s">
        <v>33</v>
      </c>
      <c r="K56" s="14" t="s">
        <v>33</v>
      </c>
      <c r="L56" s="13" t="n">
        <v>100</v>
      </c>
      <c r="M56" s="13" t="n">
        <v>75</v>
      </c>
      <c r="N56" s="14" t="s">
        <v>33</v>
      </c>
      <c r="O56" s="13" t="n">
        <v>80</v>
      </c>
      <c r="P56" s="14" t="s">
        <v>33</v>
      </c>
      <c r="Q56" s="13" t="n">
        <v>80</v>
      </c>
      <c r="R56" s="14" t="s">
        <v>33</v>
      </c>
      <c r="S56" s="13" t="n">
        <v>80</v>
      </c>
      <c r="T56" s="14" t="s">
        <v>33</v>
      </c>
      <c r="U56" s="13" t="s">
        <v>33</v>
      </c>
      <c r="V56" s="14" t="s">
        <v>33</v>
      </c>
      <c r="W56" s="13" t="n">
        <v>80</v>
      </c>
      <c r="X56" s="13" t="n">
        <v>75</v>
      </c>
      <c r="Y56" s="14" t="n">
        <v>0.793</v>
      </c>
      <c r="Z56" s="13" t="n">
        <v>80</v>
      </c>
      <c r="AA56" s="14" t="n">
        <v>0.87</v>
      </c>
      <c r="AB56" s="13" t="n">
        <v>90</v>
      </c>
      <c r="AC56" s="14" t="n">
        <v>0.957</v>
      </c>
      <c r="AD56" s="13" t="n">
        <v>90</v>
      </c>
      <c r="AE56" s="14" t="n">
        <v>1</v>
      </c>
      <c r="AF56" s="13" t="n">
        <v>0</v>
      </c>
      <c r="AG56" s="14" t="n">
        <v>0</v>
      </c>
      <c r="AH56" s="13" t="n">
        <v>90</v>
      </c>
      <c r="AI56" s="13" t="n">
        <v>85</v>
      </c>
      <c r="AJ56" s="14" t="s">
        <v>33</v>
      </c>
      <c r="AK56" s="13" t="n">
        <v>90</v>
      </c>
      <c r="AL56" s="14" t="s">
        <v>33</v>
      </c>
      <c r="AM56" s="13" t="n">
        <v>90</v>
      </c>
      <c r="AN56" s="14" t="s">
        <v>33</v>
      </c>
      <c r="AO56" s="13" t="n">
        <v>95</v>
      </c>
      <c r="AP56" s="14" t="s">
        <v>33</v>
      </c>
      <c r="AQ56" s="13" t="s">
        <v>33</v>
      </c>
      <c r="AR56" s="14" t="s">
        <v>33</v>
      </c>
      <c r="AS56" s="13" t="n">
        <v>95</v>
      </c>
      <c r="AT56" s="13" t="n">
        <v>95</v>
      </c>
      <c r="AU56" s="14" t="n">
        <v>0.814</v>
      </c>
      <c r="AV56" s="13" t="n">
        <v>115</v>
      </c>
      <c r="AW56" s="14" t="n">
        <v>0.992</v>
      </c>
      <c r="AX56" s="13" t="n">
        <v>115</v>
      </c>
      <c r="AY56" s="14" t="n">
        <v>0.992</v>
      </c>
      <c r="AZ56" s="13" t="n">
        <v>120</v>
      </c>
      <c r="BA56" s="14" t="n">
        <v>1</v>
      </c>
      <c r="BB56" s="13" t="n">
        <v>0</v>
      </c>
      <c r="BC56" s="14" t="n">
        <v>0</v>
      </c>
      <c r="BD56" s="13" t="n">
        <v>120</v>
      </c>
      <c r="BE56" s="13" t="n">
        <v>75</v>
      </c>
      <c r="BF56" s="14" t="s">
        <v>33</v>
      </c>
      <c r="BG56" s="13" t="n">
        <v>85</v>
      </c>
      <c r="BH56" s="14" t="s">
        <v>33</v>
      </c>
      <c r="BI56" s="13" t="n">
        <v>90</v>
      </c>
      <c r="BJ56" s="14" t="s">
        <v>33</v>
      </c>
      <c r="BK56" s="13" t="n">
        <v>90</v>
      </c>
      <c r="BL56" s="14" t="s">
        <v>33</v>
      </c>
      <c r="BM56" s="13" t="s">
        <v>33</v>
      </c>
      <c r="BN56" s="14" t="s">
        <v>33</v>
      </c>
      <c r="BO56" s="13" t="n">
        <v>90</v>
      </c>
    </row>
    <row r="57" customFormat="false" ht="15" hidden="false" customHeight="false" outlineLevel="0" collapsed="false">
      <c r="A57" s="9" t="s">
        <v>48</v>
      </c>
      <c r="B57" s="15" t="n">
        <v>59470</v>
      </c>
      <c r="C57" s="16" t="n">
        <v>0.303</v>
      </c>
      <c r="D57" s="15" t="n">
        <v>105385</v>
      </c>
      <c r="E57" s="16" t="n">
        <v>0.537</v>
      </c>
      <c r="F57" s="15" t="n">
        <v>146930</v>
      </c>
      <c r="G57" s="16" t="n">
        <v>0.749</v>
      </c>
      <c r="H57" s="15" t="n">
        <v>175620</v>
      </c>
      <c r="I57" s="16" t="n">
        <v>0.895</v>
      </c>
      <c r="J57" s="15" t="n">
        <v>20630</v>
      </c>
      <c r="K57" s="16" t="n">
        <v>0.105</v>
      </c>
      <c r="L57" s="15" t="n">
        <v>196250</v>
      </c>
      <c r="M57" s="15" t="n">
        <v>62945</v>
      </c>
      <c r="N57" s="16" t="n">
        <v>0.328</v>
      </c>
      <c r="O57" s="15" t="n">
        <v>109150</v>
      </c>
      <c r="P57" s="16" t="n">
        <v>0.569</v>
      </c>
      <c r="Q57" s="15" t="n">
        <v>147915</v>
      </c>
      <c r="R57" s="16" t="n">
        <v>0.771</v>
      </c>
      <c r="S57" s="15" t="n">
        <v>173650</v>
      </c>
      <c r="T57" s="16" t="n">
        <v>0.905</v>
      </c>
      <c r="U57" s="15" t="n">
        <v>18160</v>
      </c>
      <c r="V57" s="16" t="n">
        <v>0.095</v>
      </c>
      <c r="W57" s="15" t="n">
        <v>191810</v>
      </c>
      <c r="X57" s="15" t="n">
        <v>65540</v>
      </c>
      <c r="Y57" s="16" t="n">
        <v>0.348</v>
      </c>
      <c r="Z57" s="15" t="n">
        <v>111220</v>
      </c>
      <c r="AA57" s="16" t="n">
        <v>0.591</v>
      </c>
      <c r="AB57" s="15" t="n">
        <v>148540</v>
      </c>
      <c r="AC57" s="16" t="n">
        <v>0.789</v>
      </c>
      <c r="AD57" s="15" t="n">
        <v>172160</v>
      </c>
      <c r="AE57" s="16" t="n">
        <v>0.915</v>
      </c>
      <c r="AF57" s="15" t="n">
        <v>16060</v>
      </c>
      <c r="AG57" s="16" t="n">
        <v>0.085</v>
      </c>
      <c r="AH57" s="15" t="n">
        <v>188220</v>
      </c>
      <c r="AI57" s="15" t="n">
        <v>92755</v>
      </c>
      <c r="AJ57" s="16" t="n">
        <v>0.476</v>
      </c>
      <c r="AK57" s="15" t="n">
        <v>135865</v>
      </c>
      <c r="AL57" s="16" t="n">
        <v>0.698</v>
      </c>
      <c r="AM57" s="15" t="n">
        <v>169990</v>
      </c>
      <c r="AN57" s="16" t="n">
        <v>0.873</v>
      </c>
      <c r="AO57" s="15" t="n">
        <v>183655</v>
      </c>
      <c r="AP57" s="16" t="n">
        <v>0.943</v>
      </c>
      <c r="AQ57" s="15" t="n">
        <v>11005</v>
      </c>
      <c r="AR57" s="16" t="n">
        <v>0.057</v>
      </c>
      <c r="AS57" s="15" t="n">
        <v>194660</v>
      </c>
      <c r="AT57" s="15" t="n">
        <v>74480</v>
      </c>
      <c r="AU57" s="16" t="n">
        <v>0.4</v>
      </c>
      <c r="AV57" s="15" t="n">
        <v>124620</v>
      </c>
      <c r="AW57" s="16" t="n">
        <v>0.669</v>
      </c>
      <c r="AX57" s="15" t="n">
        <v>166210</v>
      </c>
      <c r="AY57" s="16" t="n">
        <v>0.893</v>
      </c>
      <c r="AZ57" s="15" t="n">
        <v>179190</v>
      </c>
      <c r="BA57" s="16" t="n">
        <v>0.962</v>
      </c>
      <c r="BB57" s="15" t="n">
        <v>7025</v>
      </c>
      <c r="BC57" s="16" t="n">
        <v>0.038</v>
      </c>
      <c r="BD57" s="15" t="n">
        <v>186215</v>
      </c>
      <c r="BE57" s="15" t="n">
        <v>52565</v>
      </c>
      <c r="BF57" s="16" t="n">
        <v>0.283</v>
      </c>
      <c r="BG57" s="15" t="n">
        <v>97305</v>
      </c>
      <c r="BH57" s="16" t="n">
        <v>0.523</v>
      </c>
      <c r="BI57" s="15" t="n">
        <v>138970</v>
      </c>
      <c r="BJ57" s="16" t="n">
        <v>0.748</v>
      </c>
      <c r="BK57" s="15" t="n">
        <v>167155</v>
      </c>
      <c r="BL57" s="16" t="n">
        <v>0.899</v>
      </c>
      <c r="BM57" s="15" t="n">
        <v>18760</v>
      </c>
      <c r="BN57" s="16" t="n">
        <v>0.101</v>
      </c>
      <c r="BO57" s="15" t="n">
        <v>185915</v>
      </c>
    </row>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O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45 A1"/>
    </sheetView>
  </sheetViews>
  <sheetFormatPr defaultColWidth="17.234375" defaultRowHeight="15" zeroHeight="false" outlineLevelRow="0" outlineLevelCol="0"/>
  <cols>
    <col collapsed="false" customWidth="true" hidden="false" outlineLevel="0" max="1" min="1" style="12" width="43.69"/>
    <col collapsed="false" customWidth="true" hidden="false" outlineLevel="0" max="2" min="2" style="12" width="18.69"/>
    <col collapsed="false" customWidth="true" hidden="false" outlineLevel="0" max="3" min="3" style="12" width="23.07"/>
    <col collapsed="false" customWidth="true" hidden="false" outlineLevel="0" max="4" min="4" style="12" width="20.52"/>
    <col collapsed="false" customWidth="true" hidden="false" outlineLevel="0" max="5" min="5" style="12" width="25.08"/>
    <col collapsed="false" customWidth="true" hidden="false" outlineLevel="0" max="6" min="6" style="12" width="20.52"/>
    <col collapsed="false" customWidth="true" hidden="false" outlineLevel="0" max="7" min="7" style="12" width="25.08"/>
    <col collapsed="false" customWidth="true" hidden="false" outlineLevel="0" max="8" min="8" style="12" width="20.52"/>
    <col collapsed="false" customWidth="true" hidden="false" outlineLevel="0" max="9" min="9" style="12" width="25.08"/>
    <col collapsed="false" customWidth="true" hidden="false" outlineLevel="0" max="10" min="10" style="12" width="20.08"/>
    <col collapsed="false" customWidth="true" hidden="false" outlineLevel="0" max="11" min="11" style="12" width="24.69"/>
    <col collapsed="false" customWidth="true" hidden="false" outlineLevel="0" max="12" min="12" style="12" width="11.69"/>
    <col collapsed="false" customWidth="true" hidden="false" outlineLevel="0" max="13" min="13" style="12" width="18.69"/>
    <col collapsed="false" customWidth="true" hidden="false" outlineLevel="0" max="14" min="14" style="12" width="23.07"/>
    <col collapsed="false" customWidth="true" hidden="false" outlineLevel="0" max="15" min="15" style="12" width="20.52"/>
    <col collapsed="false" customWidth="true" hidden="false" outlineLevel="0" max="16" min="16" style="12" width="25.08"/>
    <col collapsed="false" customWidth="true" hidden="false" outlineLevel="0" max="17" min="17" style="12" width="20.52"/>
    <col collapsed="false" customWidth="true" hidden="false" outlineLevel="0" max="18" min="18" style="12" width="25.08"/>
    <col collapsed="false" customWidth="true" hidden="false" outlineLevel="0" max="19" min="19" style="12" width="20.52"/>
    <col collapsed="false" customWidth="true" hidden="false" outlineLevel="0" max="20" min="20" style="12" width="25.08"/>
    <col collapsed="false" customWidth="true" hidden="false" outlineLevel="0" max="21" min="21" style="12" width="20.08"/>
    <col collapsed="false" customWidth="true" hidden="false" outlineLevel="0" max="22" min="22" style="12" width="24.69"/>
    <col collapsed="false" customWidth="true" hidden="false" outlineLevel="0" max="23" min="23" style="12" width="11.69"/>
    <col collapsed="false" customWidth="true" hidden="false" outlineLevel="0" max="24" min="24" style="12" width="18.69"/>
    <col collapsed="false" customWidth="true" hidden="false" outlineLevel="0" max="25" min="25" style="12" width="23.07"/>
    <col collapsed="false" customWidth="true" hidden="false" outlineLevel="0" max="26" min="26" style="12" width="20.52"/>
    <col collapsed="false" customWidth="true" hidden="false" outlineLevel="0" max="27" min="27" style="12" width="25.08"/>
    <col collapsed="false" customWidth="true" hidden="false" outlineLevel="0" max="28" min="28" style="12" width="20.52"/>
    <col collapsed="false" customWidth="true" hidden="false" outlineLevel="0" max="29" min="29" style="12" width="25.08"/>
    <col collapsed="false" customWidth="true" hidden="false" outlineLevel="0" max="30" min="30" style="12" width="20.52"/>
    <col collapsed="false" customWidth="true" hidden="false" outlineLevel="0" max="31" min="31" style="12" width="25.08"/>
    <col collapsed="false" customWidth="true" hidden="false" outlineLevel="0" max="32" min="32" style="12" width="20.08"/>
    <col collapsed="false" customWidth="true" hidden="false" outlineLevel="0" max="33" min="33" style="12" width="24.69"/>
    <col collapsed="false" customWidth="true" hidden="false" outlineLevel="0" max="34" min="34" style="12" width="11.69"/>
    <col collapsed="false" customWidth="true" hidden="false" outlineLevel="0" max="35" min="35" style="12" width="18.69"/>
    <col collapsed="false" customWidth="true" hidden="false" outlineLevel="0" max="36" min="36" style="12" width="23.07"/>
    <col collapsed="false" customWidth="true" hidden="false" outlineLevel="0" max="37" min="37" style="12" width="20.52"/>
    <col collapsed="false" customWidth="true" hidden="false" outlineLevel="0" max="38" min="38" style="12" width="25.08"/>
    <col collapsed="false" customWidth="true" hidden="false" outlineLevel="0" max="39" min="39" style="12" width="20.52"/>
    <col collapsed="false" customWidth="true" hidden="false" outlineLevel="0" max="40" min="40" style="12" width="25.08"/>
    <col collapsed="false" customWidth="true" hidden="false" outlineLevel="0" max="41" min="41" style="12" width="20.52"/>
    <col collapsed="false" customWidth="true" hidden="false" outlineLevel="0" max="42" min="42" style="12" width="25.08"/>
    <col collapsed="false" customWidth="true" hidden="false" outlineLevel="0" max="43" min="43" style="12" width="20.08"/>
    <col collapsed="false" customWidth="true" hidden="false" outlineLevel="0" max="44" min="44" style="12" width="24.69"/>
    <col collapsed="false" customWidth="true" hidden="false" outlineLevel="0" max="45" min="45" style="12" width="11.69"/>
    <col collapsed="false" customWidth="true" hidden="false" outlineLevel="0" max="46" min="46" style="12" width="18.69"/>
    <col collapsed="false" customWidth="true" hidden="false" outlineLevel="0" max="47" min="47" style="12" width="23.07"/>
    <col collapsed="false" customWidth="true" hidden="false" outlineLevel="0" max="48" min="48" style="12" width="20.52"/>
    <col collapsed="false" customWidth="true" hidden="false" outlineLevel="0" max="49" min="49" style="12" width="25.08"/>
    <col collapsed="false" customWidth="true" hidden="false" outlineLevel="0" max="50" min="50" style="12" width="20.52"/>
    <col collapsed="false" customWidth="true" hidden="false" outlineLevel="0" max="51" min="51" style="12" width="25.08"/>
    <col collapsed="false" customWidth="true" hidden="false" outlineLevel="0" max="52" min="52" style="12" width="20.52"/>
    <col collapsed="false" customWidth="true" hidden="false" outlineLevel="0" max="53" min="53" style="12" width="25.08"/>
    <col collapsed="false" customWidth="true" hidden="false" outlineLevel="0" max="54" min="54" style="12" width="20.08"/>
    <col collapsed="false" customWidth="true" hidden="false" outlineLevel="0" max="55" min="55" style="12" width="24.69"/>
    <col collapsed="false" customWidth="true" hidden="false" outlineLevel="0" max="56" min="56" style="12" width="11.69"/>
    <col collapsed="false" customWidth="true" hidden="false" outlineLevel="0" max="57" min="57" style="12" width="18.69"/>
    <col collapsed="false" customWidth="true" hidden="false" outlineLevel="0" max="58" min="58" style="12" width="23.07"/>
    <col collapsed="false" customWidth="true" hidden="false" outlineLevel="0" max="59" min="59" style="12" width="20.52"/>
    <col collapsed="false" customWidth="true" hidden="false" outlineLevel="0" max="60" min="60" style="12" width="25.08"/>
    <col collapsed="false" customWidth="true" hidden="false" outlineLevel="0" max="61" min="61" style="12" width="20.52"/>
    <col collapsed="false" customWidth="true" hidden="false" outlineLevel="0" max="62" min="62" style="12" width="25.08"/>
    <col collapsed="false" customWidth="true" hidden="false" outlineLevel="0" max="63" min="63" style="12" width="20.52"/>
    <col collapsed="false" customWidth="true" hidden="false" outlineLevel="0" max="64" min="64" style="12" width="25.08"/>
    <col collapsed="false" customWidth="true" hidden="false" outlineLevel="0" max="65" min="65" style="12" width="20.08"/>
    <col collapsed="false" customWidth="true" hidden="false" outlineLevel="0" max="66" min="66" style="12" width="24.69"/>
    <col collapsed="false" customWidth="true" hidden="false" outlineLevel="0" max="67" min="67" style="12" width="11.69"/>
    <col collapsed="false" customWidth="false" hidden="false" outlineLevel="0" max="16384" min="68" style="12" width="17.23"/>
  </cols>
  <sheetData>
    <row r="1" customFormat="false" ht="30" hidden="false" customHeight="true" outlineLevel="0" collapsed="false">
      <c r="A1" s="2" t="s">
        <v>171</v>
      </c>
    </row>
    <row r="2" customFormat="false" ht="15" hidden="false" customHeight="false" outlineLevel="0" collapsed="false">
      <c r="A2" s="12" t="s">
        <v>7</v>
      </c>
    </row>
    <row r="3" customFormat="false" ht="15" hidden="false" customHeight="false" outlineLevel="0" collapsed="false">
      <c r="A3" s="12" t="s">
        <v>8</v>
      </c>
    </row>
    <row r="4" customFormat="false" ht="15" hidden="false" customHeight="false" outlineLevel="0" collapsed="false">
      <c r="A4" s="6" t="s">
        <v>9</v>
      </c>
      <c r="B4" s="6" t="s">
        <v>95</v>
      </c>
      <c r="C4" s="6" t="s">
        <v>96</v>
      </c>
      <c r="D4" s="6" t="s">
        <v>97</v>
      </c>
      <c r="E4" s="6" t="s">
        <v>98</v>
      </c>
      <c r="F4" s="6" t="s">
        <v>99</v>
      </c>
      <c r="G4" s="6" t="s">
        <v>100</v>
      </c>
      <c r="H4" s="6" t="s">
        <v>101</v>
      </c>
      <c r="I4" s="6" t="s">
        <v>102</v>
      </c>
      <c r="J4" s="6" t="s">
        <v>103</v>
      </c>
      <c r="K4" s="6" t="s">
        <v>104</v>
      </c>
      <c r="L4" s="6" t="s">
        <v>12</v>
      </c>
      <c r="M4" s="6" t="s">
        <v>105</v>
      </c>
      <c r="N4" s="6" t="s">
        <v>106</v>
      </c>
      <c r="O4" s="6" t="s">
        <v>107</v>
      </c>
      <c r="P4" s="6" t="s">
        <v>108</v>
      </c>
      <c r="Q4" s="6" t="s">
        <v>109</v>
      </c>
      <c r="R4" s="6" t="s">
        <v>110</v>
      </c>
      <c r="S4" s="6" t="s">
        <v>111</v>
      </c>
      <c r="T4" s="6" t="s">
        <v>112</v>
      </c>
      <c r="U4" s="6" t="s">
        <v>113</v>
      </c>
      <c r="V4" s="6" t="s">
        <v>114</v>
      </c>
      <c r="W4" s="6" t="s">
        <v>15</v>
      </c>
      <c r="X4" s="6" t="s">
        <v>115</v>
      </c>
      <c r="Y4" s="6" t="s">
        <v>116</v>
      </c>
      <c r="Z4" s="6" t="s">
        <v>117</v>
      </c>
      <c r="AA4" s="6" t="s">
        <v>118</v>
      </c>
      <c r="AB4" s="6" t="s">
        <v>119</v>
      </c>
      <c r="AC4" s="6" t="s">
        <v>120</v>
      </c>
      <c r="AD4" s="6" t="s">
        <v>121</v>
      </c>
      <c r="AE4" s="6" t="s">
        <v>122</v>
      </c>
      <c r="AF4" s="6" t="s">
        <v>123</v>
      </c>
      <c r="AG4" s="6" t="s">
        <v>124</v>
      </c>
      <c r="AH4" s="6" t="s">
        <v>18</v>
      </c>
      <c r="AI4" s="6" t="s">
        <v>125</v>
      </c>
      <c r="AJ4" s="6" t="s">
        <v>126</v>
      </c>
      <c r="AK4" s="6" t="s">
        <v>127</v>
      </c>
      <c r="AL4" s="6" t="s">
        <v>128</v>
      </c>
      <c r="AM4" s="6" t="s">
        <v>129</v>
      </c>
      <c r="AN4" s="6" t="s">
        <v>130</v>
      </c>
      <c r="AO4" s="6" t="s">
        <v>131</v>
      </c>
      <c r="AP4" s="6" t="s">
        <v>132</v>
      </c>
      <c r="AQ4" s="6" t="s">
        <v>133</v>
      </c>
      <c r="AR4" s="6" t="s">
        <v>134</v>
      </c>
      <c r="AS4" s="6" t="s">
        <v>21</v>
      </c>
      <c r="AT4" s="6" t="s">
        <v>135</v>
      </c>
      <c r="AU4" s="6" t="s">
        <v>136</v>
      </c>
      <c r="AV4" s="6" t="s">
        <v>137</v>
      </c>
      <c r="AW4" s="6" t="s">
        <v>138</v>
      </c>
      <c r="AX4" s="6" t="s">
        <v>139</v>
      </c>
      <c r="AY4" s="6" t="s">
        <v>140</v>
      </c>
      <c r="AZ4" s="6" t="s">
        <v>141</v>
      </c>
      <c r="BA4" s="6" t="s">
        <v>142</v>
      </c>
      <c r="BB4" s="6" t="s">
        <v>143</v>
      </c>
      <c r="BC4" s="6" t="s">
        <v>144</v>
      </c>
      <c r="BD4" s="6" t="s">
        <v>24</v>
      </c>
      <c r="BE4" s="6" t="s">
        <v>145</v>
      </c>
      <c r="BF4" s="6" t="s">
        <v>146</v>
      </c>
      <c r="BG4" s="6" t="s">
        <v>147</v>
      </c>
      <c r="BH4" s="6" t="s">
        <v>148</v>
      </c>
      <c r="BI4" s="6" t="s">
        <v>149</v>
      </c>
      <c r="BJ4" s="6" t="s">
        <v>150</v>
      </c>
      <c r="BK4" s="6" t="s">
        <v>151</v>
      </c>
      <c r="BL4" s="6" t="s">
        <v>152</v>
      </c>
      <c r="BM4" s="6" t="s">
        <v>153</v>
      </c>
      <c r="BN4" s="6" t="s">
        <v>154</v>
      </c>
      <c r="BO4" s="6" t="s">
        <v>27</v>
      </c>
    </row>
    <row r="5" customFormat="false" ht="15" hidden="false" customHeight="false" outlineLevel="0" collapsed="false">
      <c r="A5" s="12" t="s">
        <v>155</v>
      </c>
      <c r="B5" s="13" t="n">
        <v>15</v>
      </c>
      <c r="C5" s="14" t="s">
        <v>33</v>
      </c>
      <c r="D5" s="13" t="n">
        <v>25</v>
      </c>
      <c r="E5" s="14" t="s">
        <v>33</v>
      </c>
      <c r="F5" s="13" t="n">
        <v>35</v>
      </c>
      <c r="G5" s="14" t="s">
        <v>33</v>
      </c>
      <c r="H5" s="13" t="n">
        <v>40</v>
      </c>
      <c r="I5" s="14" t="s">
        <v>33</v>
      </c>
      <c r="J5" s="13" t="s">
        <v>33</v>
      </c>
      <c r="K5" s="14" t="s">
        <v>33</v>
      </c>
      <c r="L5" s="13" t="n">
        <v>45</v>
      </c>
      <c r="M5" s="13" t="n">
        <v>30</v>
      </c>
      <c r="N5" s="14" t="n">
        <v>0.475</v>
      </c>
      <c r="O5" s="13" t="n">
        <v>35</v>
      </c>
      <c r="P5" s="14" t="n">
        <v>0.627</v>
      </c>
      <c r="Q5" s="13" t="n">
        <v>45</v>
      </c>
      <c r="R5" s="14" t="n">
        <v>0.797</v>
      </c>
      <c r="S5" s="13" t="n">
        <v>55</v>
      </c>
      <c r="T5" s="14" t="n">
        <v>0.915</v>
      </c>
      <c r="U5" s="13" t="n">
        <v>5</v>
      </c>
      <c r="V5" s="14" t="n">
        <v>0.085</v>
      </c>
      <c r="W5" s="13" t="n">
        <v>60</v>
      </c>
      <c r="X5" s="13" t="n">
        <v>25</v>
      </c>
      <c r="Y5" s="14" t="n">
        <v>0.429</v>
      </c>
      <c r="Z5" s="13" t="n">
        <v>45</v>
      </c>
      <c r="AA5" s="14" t="n">
        <v>0.746</v>
      </c>
      <c r="AB5" s="13" t="n">
        <v>55</v>
      </c>
      <c r="AC5" s="14" t="n">
        <v>0.841</v>
      </c>
      <c r="AD5" s="13" t="n">
        <v>60</v>
      </c>
      <c r="AE5" s="14" t="n">
        <v>0.921</v>
      </c>
      <c r="AF5" s="13" t="n">
        <v>5</v>
      </c>
      <c r="AG5" s="14" t="n">
        <v>0.079</v>
      </c>
      <c r="AH5" s="13" t="n">
        <v>65</v>
      </c>
      <c r="AI5" s="13" t="n">
        <v>45</v>
      </c>
      <c r="AJ5" s="14" t="n">
        <v>0.605</v>
      </c>
      <c r="AK5" s="13" t="n">
        <v>55</v>
      </c>
      <c r="AL5" s="14" t="n">
        <v>0.711</v>
      </c>
      <c r="AM5" s="13" t="n">
        <v>65</v>
      </c>
      <c r="AN5" s="14" t="n">
        <v>0.855</v>
      </c>
      <c r="AO5" s="13" t="n">
        <v>70</v>
      </c>
      <c r="AP5" s="14" t="n">
        <v>0.908</v>
      </c>
      <c r="AQ5" s="13" t="n">
        <v>5</v>
      </c>
      <c r="AR5" s="14" t="n">
        <v>0.092</v>
      </c>
      <c r="AS5" s="13" t="n">
        <v>75</v>
      </c>
      <c r="AT5" s="13" t="n">
        <v>40</v>
      </c>
      <c r="AU5" s="14" t="s">
        <v>33</v>
      </c>
      <c r="AV5" s="13" t="n">
        <v>50</v>
      </c>
      <c r="AW5" s="14" t="s">
        <v>33</v>
      </c>
      <c r="AX5" s="13" t="n">
        <v>60</v>
      </c>
      <c r="AY5" s="14" t="s">
        <v>33</v>
      </c>
      <c r="AZ5" s="13" t="n">
        <v>60</v>
      </c>
      <c r="BA5" s="14" t="s">
        <v>33</v>
      </c>
      <c r="BB5" s="13" t="s">
        <v>33</v>
      </c>
      <c r="BC5" s="14" t="s">
        <v>33</v>
      </c>
      <c r="BD5" s="13" t="n">
        <v>60</v>
      </c>
      <c r="BE5" s="13" t="n">
        <v>25</v>
      </c>
      <c r="BF5" s="14" t="s">
        <v>33</v>
      </c>
      <c r="BG5" s="13" t="n">
        <v>40</v>
      </c>
      <c r="BH5" s="14" t="s">
        <v>33</v>
      </c>
      <c r="BI5" s="13" t="n">
        <v>55</v>
      </c>
      <c r="BJ5" s="14" t="s">
        <v>33</v>
      </c>
      <c r="BK5" s="13" t="n">
        <v>60</v>
      </c>
      <c r="BL5" s="14" t="s">
        <v>33</v>
      </c>
      <c r="BM5" s="13" t="s">
        <v>33</v>
      </c>
      <c r="BN5" s="14" t="s">
        <v>33</v>
      </c>
      <c r="BO5" s="13" t="n">
        <v>65</v>
      </c>
    </row>
    <row r="6" customFormat="false" ht="15" hidden="false" customHeight="false" outlineLevel="0" collapsed="false">
      <c r="A6" s="12" t="s">
        <v>172</v>
      </c>
      <c r="B6" s="13" t="n">
        <v>255</v>
      </c>
      <c r="C6" s="14" t="n">
        <v>0.343</v>
      </c>
      <c r="D6" s="13" t="n">
        <v>495</v>
      </c>
      <c r="E6" s="14" t="n">
        <v>0.665</v>
      </c>
      <c r="F6" s="13" t="n">
        <v>690</v>
      </c>
      <c r="G6" s="14" t="n">
        <v>0.934</v>
      </c>
      <c r="H6" s="13" t="n">
        <v>730</v>
      </c>
      <c r="I6" s="14" t="n">
        <v>0.988</v>
      </c>
      <c r="J6" s="13" t="n">
        <v>10</v>
      </c>
      <c r="K6" s="14" t="n">
        <v>0.012</v>
      </c>
      <c r="L6" s="13" t="n">
        <v>740</v>
      </c>
      <c r="M6" s="13" t="n">
        <v>220</v>
      </c>
      <c r="N6" s="14" t="n">
        <v>0.322</v>
      </c>
      <c r="O6" s="13" t="n">
        <v>420</v>
      </c>
      <c r="P6" s="14" t="n">
        <v>0.612</v>
      </c>
      <c r="Q6" s="13" t="n">
        <v>640</v>
      </c>
      <c r="R6" s="14" t="n">
        <v>0.926</v>
      </c>
      <c r="S6" s="13" t="n">
        <v>680</v>
      </c>
      <c r="T6" s="14" t="n">
        <v>0.987</v>
      </c>
      <c r="U6" s="13" t="n">
        <v>10</v>
      </c>
      <c r="V6" s="14" t="n">
        <v>0.013</v>
      </c>
      <c r="W6" s="13" t="n">
        <v>690</v>
      </c>
      <c r="X6" s="13" t="n">
        <v>220</v>
      </c>
      <c r="Y6" s="14" t="n">
        <v>0.333</v>
      </c>
      <c r="Z6" s="13" t="n">
        <v>425</v>
      </c>
      <c r="AA6" s="14" t="n">
        <v>0.64</v>
      </c>
      <c r="AB6" s="13" t="n">
        <v>610</v>
      </c>
      <c r="AC6" s="14" t="n">
        <v>0.919</v>
      </c>
      <c r="AD6" s="13" t="n">
        <v>655</v>
      </c>
      <c r="AE6" s="14" t="n">
        <v>0.982</v>
      </c>
      <c r="AF6" s="13" t="n">
        <v>10</v>
      </c>
      <c r="AG6" s="14" t="n">
        <v>0.018</v>
      </c>
      <c r="AH6" s="13" t="n">
        <v>665</v>
      </c>
      <c r="AI6" s="13" t="n">
        <v>295</v>
      </c>
      <c r="AJ6" s="14" t="n">
        <v>0.468</v>
      </c>
      <c r="AK6" s="13" t="n">
        <v>485</v>
      </c>
      <c r="AL6" s="14" t="n">
        <v>0.767</v>
      </c>
      <c r="AM6" s="13" t="n">
        <v>605</v>
      </c>
      <c r="AN6" s="14" t="n">
        <v>0.951</v>
      </c>
      <c r="AO6" s="13" t="n">
        <v>620</v>
      </c>
      <c r="AP6" s="14" t="n">
        <v>0.979</v>
      </c>
      <c r="AQ6" s="13" t="n">
        <v>15</v>
      </c>
      <c r="AR6" s="14" t="n">
        <v>0.021</v>
      </c>
      <c r="AS6" s="13" t="n">
        <v>635</v>
      </c>
      <c r="AT6" s="13" t="n">
        <v>240</v>
      </c>
      <c r="AU6" s="14" t="n">
        <v>0.447</v>
      </c>
      <c r="AV6" s="13" t="n">
        <v>430</v>
      </c>
      <c r="AW6" s="14" t="n">
        <v>0.796</v>
      </c>
      <c r="AX6" s="13" t="n">
        <v>515</v>
      </c>
      <c r="AY6" s="14" t="n">
        <v>0.954</v>
      </c>
      <c r="AZ6" s="13" t="n">
        <v>530</v>
      </c>
      <c r="BA6" s="14" t="n">
        <v>0.983</v>
      </c>
      <c r="BB6" s="13" t="n">
        <v>10</v>
      </c>
      <c r="BC6" s="14" t="n">
        <v>0.017</v>
      </c>
      <c r="BD6" s="13" t="n">
        <v>540</v>
      </c>
      <c r="BE6" s="13" t="n">
        <v>185</v>
      </c>
      <c r="BF6" s="14" t="n">
        <v>0.367</v>
      </c>
      <c r="BG6" s="13" t="n">
        <v>325</v>
      </c>
      <c r="BH6" s="14" t="n">
        <v>0.645</v>
      </c>
      <c r="BI6" s="13" t="n">
        <v>465</v>
      </c>
      <c r="BJ6" s="14" t="n">
        <v>0.915</v>
      </c>
      <c r="BK6" s="13" t="n">
        <v>490</v>
      </c>
      <c r="BL6" s="14" t="n">
        <v>0.963</v>
      </c>
      <c r="BM6" s="13" t="n">
        <v>20</v>
      </c>
      <c r="BN6" s="14" t="n">
        <v>0.037</v>
      </c>
      <c r="BO6" s="13" t="n">
        <v>505</v>
      </c>
    </row>
    <row r="7" customFormat="false" ht="15" hidden="false" customHeight="false" outlineLevel="0" collapsed="false">
      <c r="A7" s="12" t="s">
        <v>173</v>
      </c>
      <c r="B7" s="13" t="n">
        <v>480</v>
      </c>
      <c r="C7" s="14" t="n">
        <v>0.366</v>
      </c>
      <c r="D7" s="13" t="n">
        <v>910</v>
      </c>
      <c r="E7" s="14" t="n">
        <v>0.695</v>
      </c>
      <c r="F7" s="13" t="n">
        <v>1235</v>
      </c>
      <c r="G7" s="14" t="n">
        <v>0.94</v>
      </c>
      <c r="H7" s="13" t="n">
        <v>1300</v>
      </c>
      <c r="I7" s="14" t="n">
        <v>0.992</v>
      </c>
      <c r="J7" s="13" t="n">
        <v>10</v>
      </c>
      <c r="K7" s="14" t="n">
        <v>0.008</v>
      </c>
      <c r="L7" s="13" t="n">
        <v>1315</v>
      </c>
      <c r="M7" s="13" t="n">
        <v>435</v>
      </c>
      <c r="N7" s="14" t="n">
        <v>0.349</v>
      </c>
      <c r="O7" s="13" t="n">
        <v>835</v>
      </c>
      <c r="P7" s="14" t="n">
        <v>0.669</v>
      </c>
      <c r="Q7" s="13" t="n">
        <v>1195</v>
      </c>
      <c r="R7" s="14" t="n">
        <v>0.955</v>
      </c>
      <c r="S7" s="13" t="n">
        <v>1245</v>
      </c>
      <c r="T7" s="14" t="n">
        <v>0.994</v>
      </c>
      <c r="U7" s="13" t="n">
        <v>5</v>
      </c>
      <c r="V7" s="14" t="n">
        <v>0.006</v>
      </c>
      <c r="W7" s="13" t="n">
        <v>1250</v>
      </c>
      <c r="X7" s="13" t="n">
        <v>475</v>
      </c>
      <c r="Y7" s="14" t="n">
        <v>0.371</v>
      </c>
      <c r="Z7" s="13" t="n">
        <v>865</v>
      </c>
      <c r="AA7" s="14" t="n">
        <v>0.675</v>
      </c>
      <c r="AB7" s="13" t="n">
        <v>1205</v>
      </c>
      <c r="AC7" s="14" t="n">
        <v>0.944</v>
      </c>
      <c r="AD7" s="13" t="n">
        <v>1270</v>
      </c>
      <c r="AE7" s="14" t="n">
        <v>0.993</v>
      </c>
      <c r="AF7" s="13" t="n">
        <v>10</v>
      </c>
      <c r="AG7" s="14" t="n">
        <v>0.007</v>
      </c>
      <c r="AH7" s="13" t="n">
        <v>1280</v>
      </c>
      <c r="AI7" s="13" t="n">
        <v>550</v>
      </c>
      <c r="AJ7" s="14" t="n">
        <v>0.472</v>
      </c>
      <c r="AK7" s="13" t="n">
        <v>925</v>
      </c>
      <c r="AL7" s="14" t="n">
        <v>0.791</v>
      </c>
      <c r="AM7" s="13" t="n">
        <v>1110</v>
      </c>
      <c r="AN7" s="14" t="n">
        <v>0.951</v>
      </c>
      <c r="AO7" s="13" t="n">
        <v>1145</v>
      </c>
      <c r="AP7" s="14" t="n">
        <v>0.983</v>
      </c>
      <c r="AQ7" s="13" t="n">
        <v>20</v>
      </c>
      <c r="AR7" s="14" t="n">
        <v>0.017</v>
      </c>
      <c r="AS7" s="13" t="n">
        <v>1165</v>
      </c>
      <c r="AT7" s="13" t="n">
        <v>475</v>
      </c>
      <c r="AU7" s="14" t="n">
        <v>0.465</v>
      </c>
      <c r="AV7" s="13" t="n">
        <v>815</v>
      </c>
      <c r="AW7" s="14" t="n">
        <v>0.801</v>
      </c>
      <c r="AX7" s="13" t="n">
        <v>985</v>
      </c>
      <c r="AY7" s="14" t="n">
        <v>0.969</v>
      </c>
      <c r="AZ7" s="13" t="n">
        <v>1005</v>
      </c>
      <c r="BA7" s="14" t="n">
        <v>0.99</v>
      </c>
      <c r="BB7" s="13" t="n">
        <v>10</v>
      </c>
      <c r="BC7" s="14" t="n">
        <v>0.01</v>
      </c>
      <c r="BD7" s="13" t="n">
        <v>1015</v>
      </c>
      <c r="BE7" s="13" t="n">
        <v>280</v>
      </c>
      <c r="BF7" s="14" t="n">
        <v>0.299</v>
      </c>
      <c r="BG7" s="13" t="n">
        <v>570</v>
      </c>
      <c r="BH7" s="14" t="n">
        <v>0.608</v>
      </c>
      <c r="BI7" s="13" t="n">
        <v>850</v>
      </c>
      <c r="BJ7" s="14" t="n">
        <v>0.907</v>
      </c>
      <c r="BK7" s="13" t="n">
        <v>910</v>
      </c>
      <c r="BL7" s="14" t="n">
        <v>0.971</v>
      </c>
      <c r="BM7" s="13" t="n">
        <v>25</v>
      </c>
      <c r="BN7" s="14" t="n">
        <v>0.029</v>
      </c>
      <c r="BO7" s="13" t="n">
        <v>935</v>
      </c>
    </row>
    <row r="8" customFormat="false" ht="15" hidden="false" customHeight="false" outlineLevel="0" collapsed="false">
      <c r="A8" s="12" t="s">
        <v>53</v>
      </c>
      <c r="B8" s="13" t="n">
        <v>525</v>
      </c>
      <c r="C8" s="14" t="n">
        <v>0.175</v>
      </c>
      <c r="D8" s="13" t="n">
        <v>1255</v>
      </c>
      <c r="E8" s="14" t="n">
        <v>0.418</v>
      </c>
      <c r="F8" s="13" t="n">
        <v>2000</v>
      </c>
      <c r="G8" s="14" t="n">
        <v>0.668</v>
      </c>
      <c r="H8" s="13" t="n">
        <v>2620</v>
      </c>
      <c r="I8" s="14" t="n">
        <v>0.874</v>
      </c>
      <c r="J8" s="13" t="n">
        <v>380</v>
      </c>
      <c r="K8" s="14" t="n">
        <v>0.126</v>
      </c>
      <c r="L8" s="13" t="n">
        <v>3000</v>
      </c>
      <c r="M8" s="13" t="n">
        <v>760</v>
      </c>
      <c r="N8" s="14" t="n">
        <v>0.245</v>
      </c>
      <c r="O8" s="13" t="n">
        <v>1595</v>
      </c>
      <c r="P8" s="14" t="n">
        <v>0.516</v>
      </c>
      <c r="Q8" s="13" t="n">
        <v>2300</v>
      </c>
      <c r="R8" s="14" t="n">
        <v>0.744</v>
      </c>
      <c r="S8" s="13" t="n">
        <v>2850</v>
      </c>
      <c r="T8" s="14" t="n">
        <v>0.922</v>
      </c>
      <c r="U8" s="13" t="n">
        <v>240</v>
      </c>
      <c r="V8" s="14" t="n">
        <v>0.078</v>
      </c>
      <c r="W8" s="13" t="n">
        <v>3090</v>
      </c>
      <c r="X8" s="13" t="n">
        <v>775</v>
      </c>
      <c r="Y8" s="14" t="n">
        <v>0.245</v>
      </c>
      <c r="Z8" s="13" t="n">
        <v>1580</v>
      </c>
      <c r="AA8" s="14" t="n">
        <v>0.5</v>
      </c>
      <c r="AB8" s="13" t="n">
        <v>2380</v>
      </c>
      <c r="AC8" s="14" t="n">
        <v>0.753</v>
      </c>
      <c r="AD8" s="13" t="n">
        <v>2900</v>
      </c>
      <c r="AE8" s="14" t="n">
        <v>0.917</v>
      </c>
      <c r="AF8" s="13" t="n">
        <v>265</v>
      </c>
      <c r="AG8" s="14" t="n">
        <v>0.083</v>
      </c>
      <c r="AH8" s="13" t="n">
        <v>3165</v>
      </c>
      <c r="AI8" s="13" t="n">
        <v>1240</v>
      </c>
      <c r="AJ8" s="14" t="n">
        <v>0.419</v>
      </c>
      <c r="AK8" s="13" t="n">
        <v>1940</v>
      </c>
      <c r="AL8" s="14" t="n">
        <v>0.655</v>
      </c>
      <c r="AM8" s="13" t="n">
        <v>2490</v>
      </c>
      <c r="AN8" s="14" t="n">
        <v>0.841</v>
      </c>
      <c r="AO8" s="13" t="n">
        <v>2770</v>
      </c>
      <c r="AP8" s="14" t="n">
        <v>0.935</v>
      </c>
      <c r="AQ8" s="13" t="n">
        <v>195</v>
      </c>
      <c r="AR8" s="14" t="n">
        <v>0.065</v>
      </c>
      <c r="AS8" s="13" t="n">
        <v>2960</v>
      </c>
      <c r="AT8" s="13" t="n">
        <v>910</v>
      </c>
      <c r="AU8" s="14" t="n">
        <v>0.362</v>
      </c>
      <c r="AV8" s="13" t="n">
        <v>1630</v>
      </c>
      <c r="AW8" s="14" t="n">
        <v>0.648</v>
      </c>
      <c r="AX8" s="13" t="n">
        <v>2240</v>
      </c>
      <c r="AY8" s="14" t="n">
        <v>0.892</v>
      </c>
      <c r="AZ8" s="13" t="n">
        <v>2430</v>
      </c>
      <c r="BA8" s="14" t="n">
        <v>0.967</v>
      </c>
      <c r="BB8" s="13" t="n">
        <v>85</v>
      </c>
      <c r="BC8" s="14" t="n">
        <v>0.033</v>
      </c>
      <c r="BD8" s="13" t="n">
        <v>2510</v>
      </c>
      <c r="BE8" s="13" t="n">
        <v>570</v>
      </c>
      <c r="BF8" s="14" t="n">
        <v>0.246</v>
      </c>
      <c r="BG8" s="13" t="n">
        <v>1140</v>
      </c>
      <c r="BH8" s="14" t="n">
        <v>0.493</v>
      </c>
      <c r="BI8" s="13" t="n">
        <v>1715</v>
      </c>
      <c r="BJ8" s="14" t="n">
        <v>0.741</v>
      </c>
      <c r="BK8" s="13" t="n">
        <v>2000</v>
      </c>
      <c r="BL8" s="14" t="n">
        <v>0.864</v>
      </c>
      <c r="BM8" s="13" t="n">
        <v>315</v>
      </c>
      <c r="BN8" s="14" t="n">
        <v>0.136</v>
      </c>
      <c r="BO8" s="13" t="n">
        <v>2315</v>
      </c>
    </row>
    <row r="9" customFormat="false" ht="15" hidden="false" customHeight="false" outlineLevel="0" collapsed="false">
      <c r="A9" s="12" t="s">
        <v>156</v>
      </c>
      <c r="B9" s="13" t="n">
        <v>225</v>
      </c>
      <c r="C9" s="14" t="n">
        <v>0.251</v>
      </c>
      <c r="D9" s="13" t="n">
        <v>425</v>
      </c>
      <c r="E9" s="14" t="n">
        <v>0.478</v>
      </c>
      <c r="F9" s="13" t="n">
        <v>620</v>
      </c>
      <c r="G9" s="14" t="n">
        <v>0.697</v>
      </c>
      <c r="H9" s="13" t="n">
        <v>780</v>
      </c>
      <c r="I9" s="14" t="n">
        <v>0.874</v>
      </c>
      <c r="J9" s="13" t="n">
        <v>110</v>
      </c>
      <c r="K9" s="14" t="n">
        <v>0.126</v>
      </c>
      <c r="L9" s="13" t="n">
        <v>890</v>
      </c>
      <c r="M9" s="13" t="n">
        <v>220</v>
      </c>
      <c r="N9" s="14" t="n">
        <v>0.26</v>
      </c>
      <c r="O9" s="13" t="n">
        <v>425</v>
      </c>
      <c r="P9" s="14" t="n">
        <v>0.502</v>
      </c>
      <c r="Q9" s="13" t="n">
        <v>625</v>
      </c>
      <c r="R9" s="14" t="n">
        <v>0.741</v>
      </c>
      <c r="S9" s="13" t="n">
        <v>755</v>
      </c>
      <c r="T9" s="14" t="n">
        <v>0.891</v>
      </c>
      <c r="U9" s="13" t="n">
        <v>90</v>
      </c>
      <c r="V9" s="14" t="n">
        <v>0.109</v>
      </c>
      <c r="W9" s="13" t="n">
        <v>845</v>
      </c>
      <c r="X9" s="13" t="n">
        <v>205</v>
      </c>
      <c r="Y9" s="14" t="n">
        <v>0.263</v>
      </c>
      <c r="Z9" s="13" t="n">
        <v>395</v>
      </c>
      <c r="AA9" s="14" t="n">
        <v>0.499</v>
      </c>
      <c r="AB9" s="13" t="n">
        <v>590</v>
      </c>
      <c r="AC9" s="14" t="n">
        <v>0.75</v>
      </c>
      <c r="AD9" s="13" t="n">
        <v>720</v>
      </c>
      <c r="AE9" s="14" t="n">
        <v>0.915</v>
      </c>
      <c r="AF9" s="13" t="n">
        <v>65</v>
      </c>
      <c r="AG9" s="14" t="n">
        <v>0.085</v>
      </c>
      <c r="AH9" s="13" t="n">
        <v>790</v>
      </c>
      <c r="AI9" s="13" t="n">
        <v>340</v>
      </c>
      <c r="AJ9" s="14" t="n">
        <v>0.579</v>
      </c>
      <c r="AK9" s="13" t="n">
        <v>470</v>
      </c>
      <c r="AL9" s="14" t="n">
        <v>0.798</v>
      </c>
      <c r="AM9" s="13" t="n">
        <v>555</v>
      </c>
      <c r="AN9" s="14" t="n">
        <v>0.941</v>
      </c>
      <c r="AO9" s="13" t="n">
        <v>575</v>
      </c>
      <c r="AP9" s="14" t="n">
        <v>0.98</v>
      </c>
      <c r="AQ9" s="13" t="n">
        <v>10</v>
      </c>
      <c r="AR9" s="14" t="n">
        <v>0.02</v>
      </c>
      <c r="AS9" s="13" t="n">
        <v>590</v>
      </c>
      <c r="AT9" s="13" t="n">
        <v>285</v>
      </c>
      <c r="AU9" s="14" t="n">
        <v>0.505</v>
      </c>
      <c r="AV9" s="13" t="n">
        <v>450</v>
      </c>
      <c r="AW9" s="14" t="n">
        <v>0.807</v>
      </c>
      <c r="AX9" s="13" t="n">
        <v>535</v>
      </c>
      <c r="AY9" s="14" t="n">
        <v>0.957</v>
      </c>
      <c r="AZ9" s="13" t="n">
        <v>555</v>
      </c>
      <c r="BA9" s="14" t="n">
        <v>0.991</v>
      </c>
      <c r="BB9" s="13" t="n">
        <v>5</v>
      </c>
      <c r="BC9" s="14" t="n">
        <v>0.009</v>
      </c>
      <c r="BD9" s="13" t="n">
        <v>560</v>
      </c>
      <c r="BE9" s="13" t="n">
        <v>115</v>
      </c>
      <c r="BF9" s="14" t="n">
        <v>0.254</v>
      </c>
      <c r="BG9" s="13" t="n">
        <v>230</v>
      </c>
      <c r="BH9" s="14" t="n">
        <v>0.506</v>
      </c>
      <c r="BI9" s="13" t="n">
        <v>345</v>
      </c>
      <c r="BJ9" s="14" t="n">
        <v>0.764</v>
      </c>
      <c r="BK9" s="13" t="n">
        <v>385</v>
      </c>
      <c r="BL9" s="14" t="n">
        <v>0.854</v>
      </c>
      <c r="BM9" s="13" t="n">
        <v>65</v>
      </c>
      <c r="BN9" s="14" t="n">
        <v>0.146</v>
      </c>
      <c r="BO9" s="13" t="n">
        <v>455</v>
      </c>
    </row>
    <row r="10" customFormat="false" ht="15" hidden="false" customHeight="false" outlineLevel="0" collapsed="false">
      <c r="A10" s="12" t="s">
        <v>157</v>
      </c>
      <c r="B10" s="13" t="s">
        <v>33</v>
      </c>
      <c r="C10" s="14" t="s">
        <v>33</v>
      </c>
      <c r="D10" s="13" t="s">
        <v>33</v>
      </c>
      <c r="E10" s="14" t="s">
        <v>33</v>
      </c>
      <c r="F10" s="13" t="s">
        <v>33</v>
      </c>
      <c r="G10" s="14" t="s">
        <v>33</v>
      </c>
      <c r="H10" s="13" t="s">
        <v>33</v>
      </c>
      <c r="I10" s="14" t="s">
        <v>33</v>
      </c>
      <c r="J10" s="13" t="n">
        <v>0</v>
      </c>
      <c r="K10" s="14" t="n">
        <v>0</v>
      </c>
      <c r="L10" s="13" t="s">
        <v>33</v>
      </c>
      <c r="M10" s="13" t="s">
        <v>33</v>
      </c>
      <c r="N10" s="14" t="s">
        <v>33</v>
      </c>
      <c r="O10" s="13" t="s">
        <v>33</v>
      </c>
      <c r="P10" s="14" t="s">
        <v>33</v>
      </c>
      <c r="Q10" s="13" t="s">
        <v>33</v>
      </c>
      <c r="R10" s="14" t="s">
        <v>33</v>
      </c>
      <c r="S10" s="13" t="s">
        <v>33</v>
      </c>
      <c r="T10" s="14" t="s">
        <v>33</v>
      </c>
      <c r="U10" s="13" t="n">
        <v>0</v>
      </c>
      <c r="V10" s="14" t="n">
        <v>0</v>
      </c>
      <c r="W10" s="13" t="s">
        <v>33</v>
      </c>
      <c r="X10" s="13" t="s">
        <v>33</v>
      </c>
      <c r="Y10" s="14" t="s">
        <v>33</v>
      </c>
      <c r="Z10" s="13" t="s">
        <v>33</v>
      </c>
      <c r="AA10" s="14" t="s">
        <v>33</v>
      </c>
      <c r="AB10" s="13" t="s">
        <v>33</v>
      </c>
      <c r="AC10" s="14" t="s">
        <v>33</v>
      </c>
      <c r="AD10" s="13" t="s">
        <v>33</v>
      </c>
      <c r="AE10" s="14" t="s">
        <v>33</v>
      </c>
      <c r="AF10" s="13" t="n">
        <v>0</v>
      </c>
      <c r="AG10" s="14" t="n">
        <v>0</v>
      </c>
      <c r="AH10" s="13" t="s">
        <v>33</v>
      </c>
      <c r="AI10" s="13" t="s">
        <v>33</v>
      </c>
      <c r="AJ10" s="14" t="s">
        <v>33</v>
      </c>
      <c r="AK10" s="13" t="s">
        <v>33</v>
      </c>
      <c r="AL10" s="14" t="s">
        <v>33</v>
      </c>
      <c r="AM10" s="13" t="s">
        <v>33</v>
      </c>
      <c r="AN10" s="14" t="s">
        <v>33</v>
      </c>
      <c r="AO10" s="13" t="s">
        <v>33</v>
      </c>
      <c r="AP10" s="14" t="s">
        <v>33</v>
      </c>
      <c r="AQ10" s="13" t="n">
        <v>0</v>
      </c>
      <c r="AR10" s="14" t="n">
        <v>0</v>
      </c>
      <c r="AS10" s="13" t="s">
        <v>33</v>
      </c>
      <c r="AT10" s="13" t="s">
        <v>33</v>
      </c>
      <c r="AU10" s="14" t="s">
        <v>33</v>
      </c>
      <c r="AV10" s="13" t="s">
        <v>33</v>
      </c>
      <c r="AW10" s="14" t="s">
        <v>33</v>
      </c>
      <c r="AX10" s="13" t="s">
        <v>33</v>
      </c>
      <c r="AY10" s="14" t="s">
        <v>33</v>
      </c>
      <c r="AZ10" s="13" t="s">
        <v>33</v>
      </c>
      <c r="BA10" s="14" t="s">
        <v>33</v>
      </c>
      <c r="BB10" s="13" t="n">
        <v>0</v>
      </c>
      <c r="BC10" s="14" t="n">
        <v>0</v>
      </c>
      <c r="BD10" s="13" t="s">
        <v>33</v>
      </c>
      <c r="BE10" s="13" t="s">
        <v>33</v>
      </c>
      <c r="BF10" s="14" t="s">
        <v>33</v>
      </c>
      <c r="BG10" s="13" t="s">
        <v>33</v>
      </c>
      <c r="BH10" s="14" t="s">
        <v>33</v>
      </c>
      <c r="BI10" s="13" t="s">
        <v>33</v>
      </c>
      <c r="BJ10" s="14" t="s">
        <v>33</v>
      </c>
      <c r="BK10" s="13" t="s">
        <v>33</v>
      </c>
      <c r="BL10" s="14" t="s">
        <v>33</v>
      </c>
      <c r="BM10" s="13" t="n">
        <v>0</v>
      </c>
      <c r="BN10" s="14" t="n">
        <v>0</v>
      </c>
      <c r="BO10" s="13" t="s">
        <v>33</v>
      </c>
    </row>
    <row r="11" customFormat="false" ht="15" hidden="false" customHeight="false" outlineLevel="0" collapsed="false">
      <c r="A11" s="12" t="s">
        <v>55</v>
      </c>
      <c r="B11" s="13" t="n">
        <v>735</v>
      </c>
      <c r="C11" s="14" t="n">
        <v>0.268</v>
      </c>
      <c r="D11" s="13" t="n">
        <v>1345</v>
      </c>
      <c r="E11" s="14" t="n">
        <v>0.49</v>
      </c>
      <c r="F11" s="13" t="n">
        <v>1950</v>
      </c>
      <c r="G11" s="14" t="n">
        <v>0.709</v>
      </c>
      <c r="H11" s="13" t="n">
        <v>2400</v>
      </c>
      <c r="I11" s="14" t="n">
        <v>0.874</v>
      </c>
      <c r="J11" s="13" t="n">
        <v>345</v>
      </c>
      <c r="K11" s="14" t="n">
        <v>0.126</v>
      </c>
      <c r="L11" s="13" t="n">
        <v>2745</v>
      </c>
      <c r="M11" s="13" t="n">
        <v>775</v>
      </c>
      <c r="N11" s="14" t="n">
        <v>0.272</v>
      </c>
      <c r="O11" s="13" t="n">
        <v>1595</v>
      </c>
      <c r="P11" s="14" t="n">
        <v>0.559</v>
      </c>
      <c r="Q11" s="13" t="n">
        <v>2245</v>
      </c>
      <c r="R11" s="14" t="n">
        <v>0.787</v>
      </c>
      <c r="S11" s="13" t="n">
        <v>2660</v>
      </c>
      <c r="T11" s="14" t="n">
        <v>0.933</v>
      </c>
      <c r="U11" s="13" t="n">
        <v>190</v>
      </c>
      <c r="V11" s="14" t="n">
        <v>0.067</v>
      </c>
      <c r="W11" s="13" t="n">
        <v>2850</v>
      </c>
      <c r="X11" s="13" t="n">
        <v>890</v>
      </c>
      <c r="Y11" s="14" t="n">
        <v>0.326</v>
      </c>
      <c r="Z11" s="13" t="n">
        <v>1675</v>
      </c>
      <c r="AA11" s="14" t="n">
        <v>0.613</v>
      </c>
      <c r="AB11" s="13" t="n">
        <v>2240</v>
      </c>
      <c r="AC11" s="14" t="n">
        <v>0.82</v>
      </c>
      <c r="AD11" s="13" t="n">
        <v>2590</v>
      </c>
      <c r="AE11" s="14" t="n">
        <v>0.947</v>
      </c>
      <c r="AF11" s="13" t="n">
        <v>145</v>
      </c>
      <c r="AG11" s="14" t="n">
        <v>0.053</v>
      </c>
      <c r="AH11" s="13" t="n">
        <v>2735</v>
      </c>
      <c r="AI11" s="13" t="n">
        <v>1210</v>
      </c>
      <c r="AJ11" s="14" t="n">
        <v>0.453</v>
      </c>
      <c r="AK11" s="13" t="n">
        <v>1855</v>
      </c>
      <c r="AL11" s="14" t="n">
        <v>0.694</v>
      </c>
      <c r="AM11" s="13" t="n">
        <v>2305</v>
      </c>
      <c r="AN11" s="14" t="n">
        <v>0.862</v>
      </c>
      <c r="AO11" s="13" t="n">
        <v>2505</v>
      </c>
      <c r="AP11" s="14" t="n">
        <v>0.937</v>
      </c>
      <c r="AQ11" s="13" t="n">
        <v>170</v>
      </c>
      <c r="AR11" s="14" t="n">
        <v>0.063</v>
      </c>
      <c r="AS11" s="13" t="n">
        <v>2675</v>
      </c>
      <c r="AT11" s="13" t="n">
        <v>1095</v>
      </c>
      <c r="AU11" s="14" t="n">
        <v>0.429</v>
      </c>
      <c r="AV11" s="13" t="n">
        <v>1820</v>
      </c>
      <c r="AW11" s="14" t="n">
        <v>0.712</v>
      </c>
      <c r="AX11" s="13" t="n">
        <v>2370</v>
      </c>
      <c r="AY11" s="14" t="n">
        <v>0.927</v>
      </c>
      <c r="AZ11" s="13" t="n">
        <v>2505</v>
      </c>
      <c r="BA11" s="14" t="n">
        <v>0.98</v>
      </c>
      <c r="BB11" s="13" t="n">
        <v>50</v>
      </c>
      <c r="BC11" s="14" t="n">
        <v>0.02</v>
      </c>
      <c r="BD11" s="13" t="n">
        <v>2555</v>
      </c>
      <c r="BE11" s="13" t="n">
        <v>830</v>
      </c>
      <c r="BF11" s="14" t="n">
        <v>0.338</v>
      </c>
      <c r="BG11" s="13" t="n">
        <v>1470</v>
      </c>
      <c r="BH11" s="14" t="n">
        <v>0.6</v>
      </c>
      <c r="BI11" s="13" t="n">
        <v>2015</v>
      </c>
      <c r="BJ11" s="14" t="n">
        <v>0.822</v>
      </c>
      <c r="BK11" s="13" t="n">
        <v>2195</v>
      </c>
      <c r="BL11" s="14" t="n">
        <v>0.896</v>
      </c>
      <c r="BM11" s="13" t="n">
        <v>255</v>
      </c>
      <c r="BN11" s="14" t="n">
        <v>0.104</v>
      </c>
      <c r="BO11" s="13" t="n">
        <v>2450</v>
      </c>
    </row>
    <row r="12" customFormat="false" ht="15" hidden="false" customHeight="false" outlineLevel="0" collapsed="false">
      <c r="A12" s="12" t="s">
        <v>56</v>
      </c>
      <c r="B12" s="13" t="n">
        <v>15</v>
      </c>
      <c r="C12" s="14" t="s">
        <v>33</v>
      </c>
      <c r="D12" s="13" t="n">
        <v>25</v>
      </c>
      <c r="E12" s="14" t="s">
        <v>33</v>
      </c>
      <c r="F12" s="13" t="n">
        <v>30</v>
      </c>
      <c r="G12" s="14" t="s">
        <v>33</v>
      </c>
      <c r="H12" s="13" t="n">
        <v>30</v>
      </c>
      <c r="I12" s="14" t="s">
        <v>33</v>
      </c>
      <c r="J12" s="13" t="s">
        <v>33</v>
      </c>
      <c r="K12" s="14" t="s">
        <v>33</v>
      </c>
      <c r="L12" s="13" t="n">
        <v>35</v>
      </c>
      <c r="M12" s="13" t="n">
        <v>15</v>
      </c>
      <c r="N12" s="14" t="s">
        <v>33</v>
      </c>
      <c r="O12" s="13" t="n">
        <v>25</v>
      </c>
      <c r="P12" s="14" t="s">
        <v>33</v>
      </c>
      <c r="Q12" s="13" t="n">
        <v>30</v>
      </c>
      <c r="R12" s="14" t="s">
        <v>33</v>
      </c>
      <c r="S12" s="13" t="n">
        <v>35</v>
      </c>
      <c r="T12" s="14" t="s">
        <v>33</v>
      </c>
      <c r="U12" s="13" t="s">
        <v>33</v>
      </c>
      <c r="V12" s="14" t="s">
        <v>33</v>
      </c>
      <c r="W12" s="13" t="n">
        <v>35</v>
      </c>
      <c r="X12" s="13" t="n">
        <v>15</v>
      </c>
      <c r="Y12" s="14" t="n">
        <v>0.386</v>
      </c>
      <c r="Z12" s="13" t="n">
        <v>30</v>
      </c>
      <c r="AA12" s="14" t="n">
        <v>0.727</v>
      </c>
      <c r="AB12" s="13" t="n">
        <v>40</v>
      </c>
      <c r="AC12" s="14" t="n">
        <v>0.864</v>
      </c>
      <c r="AD12" s="13" t="n">
        <v>45</v>
      </c>
      <c r="AE12" s="14" t="n">
        <v>1</v>
      </c>
      <c r="AF12" s="13" t="n">
        <v>0</v>
      </c>
      <c r="AG12" s="14" t="n">
        <v>0</v>
      </c>
      <c r="AH12" s="13" t="n">
        <v>45</v>
      </c>
      <c r="AI12" s="13" t="n">
        <v>25</v>
      </c>
      <c r="AJ12" s="14" t="n">
        <v>0.694</v>
      </c>
      <c r="AK12" s="13" t="n">
        <v>30</v>
      </c>
      <c r="AL12" s="14" t="n">
        <v>0.889</v>
      </c>
      <c r="AM12" s="13" t="n">
        <v>35</v>
      </c>
      <c r="AN12" s="14" t="n">
        <v>1</v>
      </c>
      <c r="AO12" s="13" t="n">
        <v>35</v>
      </c>
      <c r="AP12" s="14" t="n">
        <v>1</v>
      </c>
      <c r="AQ12" s="13" t="n">
        <v>0</v>
      </c>
      <c r="AR12" s="14" t="n">
        <v>0</v>
      </c>
      <c r="AS12" s="13" t="n">
        <v>35</v>
      </c>
      <c r="AT12" s="13" t="n">
        <v>15</v>
      </c>
      <c r="AU12" s="14" t="n">
        <v>0.548</v>
      </c>
      <c r="AV12" s="13" t="n">
        <v>30</v>
      </c>
      <c r="AW12" s="14" t="n">
        <v>0.935</v>
      </c>
      <c r="AX12" s="13" t="n">
        <v>30</v>
      </c>
      <c r="AY12" s="14" t="n">
        <v>1</v>
      </c>
      <c r="AZ12" s="13" t="n">
        <v>30</v>
      </c>
      <c r="BA12" s="14" t="n">
        <v>1</v>
      </c>
      <c r="BB12" s="13" t="n">
        <v>0</v>
      </c>
      <c r="BC12" s="14" t="n">
        <v>0</v>
      </c>
      <c r="BD12" s="13" t="n">
        <v>30</v>
      </c>
      <c r="BE12" s="13" t="n">
        <v>15</v>
      </c>
      <c r="BF12" s="14" t="n">
        <v>0.368</v>
      </c>
      <c r="BG12" s="13" t="n">
        <v>30</v>
      </c>
      <c r="BH12" s="14" t="n">
        <v>0.816</v>
      </c>
      <c r="BI12" s="13" t="n">
        <v>40</v>
      </c>
      <c r="BJ12" s="14" t="n">
        <v>1</v>
      </c>
      <c r="BK12" s="13" t="n">
        <v>40</v>
      </c>
      <c r="BL12" s="14" t="n">
        <v>1</v>
      </c>
      <c r="BM12" s="13" t="n">
        <v>0</v>
      </c>
      <c r="BN12" s="14" t="n">
        <v>0</v>
      </c>
      <c r="BO12" s="13" t="n">
        <v>40</v>
      </c>
    </row>
    <row r="13" customFormat="false" ht="15" hidden="false" customHeight="false" outlineLevel="0" collapsed="false">
      <c r="A13" s="12" t="s">
        <v>57</v>
      </c>
      <c r="B13" s="13" t="n">
        <v>185</v>
      </c>
      <c r="C13" s="14" t="n">
        <v>0.265</v>
      </c>
      <c r="D13" s="13" t="n">
        <v>340</v>
      </c>
      <c r="E13" s="14" t="n">
        <v>0.485</v>
      </c>
      <c r="F13" s="13" t="n">
        <v>490</v>
      </c>
      <c r="G13" s="14" t="n">
        <v>0.695</v>
      </c>
      <c r="H13" s="13" t="n">
        <v>600</v>
      </c>
      <c r="I13" s="14" t="n">
        <v>0.852</v>
      </c>
      <c r="J13" s="13" t="n">
        <v>105</v>
      </c>
      <c r="K13" s="14" t="n">
        <v>0.148</v>
      </c>
      <c r="L13" s="13" t="n">
        <v>705</v>
      </c>
      <c r="M13" s="13" t="n">
        <v>210</v>
      </c>
      <c r="N13" s="14" t="n">
        <v>0.316</v>
      </c>
      <c r="O13" s="13" t="n">
        <v>365</v>
      </c>
      <c r="P13" s="14" t="n">
        <v>0.546</v>
      </c>
      <c r="Q13" s="13" t="n">
        <v>485</v>
      </c>
      <c r="R13" s="14" t="n">
        <v>0.729</v>
      </c>
      <c r="S13" s="13" t="n">
        <v>580</v>
      </c>
      <c r="T13" s="14" t="n">
        <v>0.869</v>
      </c>
      <c r="U13" s="13" t="n">
        <v>85</v>
      </c>
      <c r="V13" s="14" t="n">
        <v>0.131</v>
      </c>
      <c r="W13" s="13" t="n">
        <v>665</v>
      </c>
      <c r="X13" s="13" t="n">
        <v>255</v>
      </c>
      <c r="Y13" s="14" t="n">
        <v>0.367</v>
      </c>
      <c r="Z13" s="13" t="n">
        <v>405</v>
      </c>
      <c r="AA13" s="14" t="n">
        <v>0.58</v>
      </c>
      <c r="AB13" s="13" t="n">
        <v>530</v>
      </c>
      <c r="AC13" s="14" t="n">
        <v>0.764</v>
      </c>
      <c r="AD13" s="13" t="n">
        <v>635</v>
      </c>
      <c r="AE13" s="14" t="n">
        <v>0.912</v>
      </c>
      <c r="AF13" s="13" t="n">
        <v>60</v>
      </c>
      <c r="AG13" s="14" t="n">
        <v>0.088</v>
      </c>
      <c r="AH13" s="13" t="n">
        <v>695</v>
      </c>
      <c r="AI13" s="13" t="n">
        <v>265</v>
      </c>
      <c r="AJ13" s="14" t="n">
        <v>0.469</v>
      </c>
      <c r="AK13" s="13" t="n">
        <v>390</v>
      </c>
      <c r="AL13" s="14" t="n">
        <v>0.69</v>
      </c>
      <c r="AM13" s="13" t="n">
        <v>500</v>
      </c>
      <c r="AN13" s="14" t="n">
        <v>0.887</v>
      </c>
      <c r="AO13" s="13" t="n">
        <v>535</v>
      </c>
      <c r="AP13" s="14" t="n">
        <v>0.947</v>
      </c>
      <c r="AQ13" s="13" t="n">
        <v>30</v>
      </c>
      <c r="AR13" s="14" t="n">
        <v>0.053</v>
      </c>
      <c r="AS13" s="13" t="n">
        <v>565</v>
      </c>
      <c r="AT13" s="13" t="n">
        <v>220</v>
      </c>
      <c r="AU13" s="14" t="n">
        <v>0.443</v>
      </c>
      <c r="AV13" s="13" t="n">
        <v>375</v>
      </c>
      <c r="AW13" s="14" t="n">
        <v>0.762</v>
      </c>
      <c r="AX13" s="13" t="n">
        <v>460</v>
      </c>
      <c r="AY13" s="14" t="n">
        <v>0.939</v>
      </c>
      <c r="AZ13" s="13" t="n">
        <v>480</v>
      </c>
      <c r="BA13" s="14" t="n">
        <v>0.974</v>
      </c>
      <c r="BB13" s="13" t="n">
        <v>15</v>
      </c>
      <c r="BC13" s="14" t="n">
        <v>0.026</v>
      </c>
      <c r="BD13" s="13" t="n">
        <v>490</v>
      </c>
      <c r="BE13" s="13" t="n">
        <v>150</v>
      </c>
      <c r="BF13" s="14" t="n">
        <v>0.241</v>
      </c>
      <c r="BG13" s="13" t="n">
        <v>275</v>
      </c>
      <c r="BH13" s="14" t="n">
        <v>0.448</v>
      </c>
      <c r="BI13" s="13" t="n">
        <v>400</v>
      </c>
      <c r="BJ13" s="14" t="n">
        <v>0.655</v>
      </c>
      <c r="BK13" s="13" t="n">
        <v>465</v>
      </c>
      <c r="BL13" s="14" t="n">
        <v>0.754</v>
      </c>
      <c r="BM13" s="13" t="n">
        <v>150</v>
      </c>
      <c r="BN13" s="14" t="n">
        <v>0.246</v>
      </c>
      <c r="BO13" s="13" t="n">
        <v>615</v>
      </c>
    </row>
    <row r="14" customFormat="false" ht="15" hidden="false" customHeight="false" outlineLevel="0" collapsed="false">
      <c r="A14" s="12" t="s">
        <v>83</v>
      </c>
      <c r="B14" s="13" t="n">
        <v>5</v>
      </c>
      <c r="C14" s="14" t="n">
        <v>0.096</v>
      </c>
      <c r="D14" s="13" t="n">
        <v>15</v>
      </c>
      <c r="E14" s="14" t="n">
        <v>0.308</v>
      </c>
      <c r="F14" s="13" t="n">
        <v>30</v>
      </c>
      <c r="G14" s="14" t="n">
        <v>0.596</v>
      </c>
      <c r="H14" s="13" t="n">
        <v>45</v>
      </c>
      <c r="I14" s="14" t="n">
        <v>0.827</v>
      </c>
      <c r="J14" s="13" t="n">
        <v>10</v>
      </c>
      <c r="K14" s="14" t="n">
        <v>0.173</v>
      </c>
      <c r="L14" s="13" t="n">
        <v>50</v>
      </c>
      <c r="M14" s="13" t="n">
        <v>15</v>
      </c>
      <c r="N14" s="14" t="n">
        <v>0.125</v>
      </c>
      <c r="O14" s="13" t="n">
        <v>35</v>
      </c>
      <c r="P14" s="14" t="n">
        <v>0.304</v>
      </c>
      <c r="Q14" s="13" t="n">
        <v>60</v>
      </c>
      <c r="R14" s="14" t="n">
        <v>0.527</v>
      </c>
      <c r="S14" s="13" t="n">
        <v>85</v>
      </c>
      <c r="T14" s="14" t="n">
        <v>0.741</v>
      </c>
      <c r="U14" s="13" t="n">
        <v>30</v>
      </c>
      <c r="V14" s="14" t="n">
        <v>0.259</v>
      </c>
      <c r="W14" s="13" t="n">
        <v>110</v>
      </c>
      <c r="X14" s="13" t="n">
        <v>25</v>
      </c>
      <c r="Y14" s="14" t="n">
        <v>0.209</v>
      </c>
      <c r="Z14" s="13" t="n">
        <v>40</v>
      </c>
      <c r="AA14" s="14" t="n">
        <v>0.357</v>
      </c>
      <c r="AB14" s="13" t="n">
        <v>65</v>
      </c>
      <c r="AC14" s="14" t="n">
        <v>0.583</v>
      </c>
      <c r="AD14" s="13" t="n">
        <v>95</v>
      </c>
      <c r="AE14" s="14" t="n">
        <v>0.835</v>
      </c>
      <c r="AF14" s="13" t="n">
        <v>20</v>
      </c>
      <c r="AG14" s="14" t="n">
        <v>0.165</v>
      </c>
      <c r="AH14" s="13" t="n">
        <v>115</v>
      </c>
      <c r="AI14" s="13" t="n">
        <v>35</v>
      </c>
      <c r="AJ14" s="14" t="n">
        <v>0.306</v>
      </c>
      <c r="AK14" s="13" t="n">
        <v>60</v>
      </c>
      <c r="AL14" s="14" t="n">
        <v>0.537</v>
      </c>
      <c r="AM14" s="13" t="n">
        <v>95</v>
      </c>
      <c r="AN14" s="14" t="n">
        <v>0.87</v>
      </c>
      <c r="AO14" s="13" t="n">
        <v>100</v>
      </c>
      <c r="AP14" s="14" t="n">
        <v>0.944</v>
      </c>
      <c r="AQ14" s="13" t="n">
        <v>5</v>
      </c>
      <c r="AR14" s="14" t="n">
        <v>0.056</v>
      </c>
      <c r="AS14" s="13" t="n">
        <v>110</v>
      </c>
      <c r="AT14" s="13" t="n">
        <v>15</v>
      </c>
      <c r="AU14" s="14" t="s">
        <v>33</v>
      </c>
      <c r="AV14" s="13" t="n">
        <v>35</v>
      </c>
      <c r="AW14" s="14" t="s">
        <v>33</v>
      </c>
      <c r="AX14" s="13" t="n">
        <v>45</v>
      </c>
      <c r="AY14" s="14" t="s">
        <v>33</v>
      </c>
      <c r="AZ14" s="13" t="n">
        <v>45</v>
      </c>
      <c r="BA14" s="14" t="s">
        <v>33</v>
      </c>
      <c r="BB14" s="13" t="s">
        <v>33</v>
      </c>
      <c r="BC14" s="14" t="s">
        <v>33</v>
      </c>
      <c r="BD14" s="13" t="n">
        <v>45</v>
      </c>
      <c r="BE14" s="13" t="n">
        <v>5</v>
      </c>
      <c r="BF14" s="14" t="n">
        <v>0.076</v>
      </c>
      <c r="BG14" s="13" t="n">
        <v>25</v>
      </c>
      <c r="BH14" s="14" t="n">
        <v>0.329</v>
      </c>
      <c r="BI14" s="13" t="n">
        <v>50</v>
      </c>
      <c r="BJ14" s="14" t="n">
        <v>0.646</v>
      </c>
      <c r="BK14" s="13" t="n">
        <v>60</v>
      </c>
      <c r="BL14" s="14" t="n">
        <v>0.785</v>
      </c>
      <c r="BM14" s="13" t="n">
        <v>15</v>
      </c>
      <c r="BN14" s="14" t="n">
        <v>0.215</v>
      </c>
      <c r="BO14" s="13" t="n">
        <v>80</v>
      </c>
    </row>
    <row r="15" customFormat="false" ht="15" hidden="false" customHeight="false" outlineLevel="0" collapsed="false">
      <c r="A15" s="12" t="s">
        <v>59</v>
      </c>
      <c r="B15" s="13" t="n">
        <v>145</v>
      </c>
      <c r="C15" s="14" t="n">
        <v>0.291</v>
      </c>
      <c r="D15" s="13" t="n">
        <v>285</v>
      </c>
      <c r="E15" s="14" t="n">
        <v>0.575</v>
      </c>
      <c r="F15" s="13" t="n">
        <v>430</v>
      </c>
      <c r="G15" s="14" t="n">
        <v>0.87</v>
      </c>
      <c r="H15" s="13" t="n">
        <v>470</v>
      </c>
      <c r="I15" s="14" t="n">
        <v>0.955</v>
      </c>
      <c r="J15" s="13" t="n">
        <v>20</v>
      </c>
      <c r="K15" s="14" t="n">
        <v>0.045</v>
      </c>
      <c r="L15" s="13" t="n">
        <v>495</v>
      </c>
      <c r="M15" s="13" t="n">
        <v>145</v>
      </c>
      <c r="N15" s="14" t="n">
        <v>0.27</v>
      </c>
      <c r="O15" s="13" t="n">
        <v>280</v>
      </c>
      <c r="P15" s="14" t="n">
        <v>0.515</v>
      </c>
      <c r="Q15" s="13" t="n">
        <v>450</v>
      </c>
      <c r="R15" s="14" t="n">
        <v>0.83</v>
      </c>
      <c r="S15" s="13" t="n">
        <v>525</v>
      </c>
      <c r="T15" s="14" t="n">
        <v>0.97</v>
      </c>
      <c r="U15" s="13" t="n">
        <v>15</v>
      </c>
      <c r="V15" s="14" t="n">
        <v>0.03</v>
      </c>
      <c r="W15" s="13" t="n">
        <v>540</v>
      </c>
      <c r="X15" s="13" t="n">
        <v>145</v>
      </c>
      <c r="Y15" s="14" t="n">
        <v>0.232</v>
      </c>
      <c r="Z15" s="13" t="n">
        <v>340</v>
      </c>
      <c r="AA15" s="14" t="n">
        <v>0.548</v>
      </c>
      <c r="AB15" s="13" t="n">
        <v>520</v>
      </c>
      <c r="AC15" s="14" t="n">
        <v>0.833</v>
      </c>
      <c r="AD15" s="13" t="n">
        <v>600</v>
      </c>
      <c r="AE15" s="14" t="n">
        <v>0.968</v>
      </c>
      <c r="AF15" s="13" t="n">
        <v>20</v>
      </c>
      <c r="AG15" s="14" t="n">
        <v>0.032</v>
      </c>
      <c r="AH15" s="13" t="n">
        <v>620</v>
      </c>
      <c r="AI15" s="13" t="n">
        <v>280</v>
      </c>
      <c r="AJ15" s="14" t="n">
        <v>0.495</v>
      </c>
      <c r="AK15" s="13" t="n">
        <v>430</v>
      </c>
      <c r="AL15" s="14" t="n">
        <v>0.755</v>
      </c>
      <c r="AM15" s="13" t="n">
        <v>515</v>
      </c>
      <c r="AN15" s="14" t="n">
        <v>0.905</v>
      </c>
      <c r="AO15" s="13" t="n">
        <v>545</v>
      </c>
      <c r="AP15" s="14" t="n">
        <v>0.96</v>
      </c>
      <c r="AQ15" s="13" t="n">
        <v>25</v>
      </c>
      <c r="AR15" s="14" t="n">
        <v>0.04</v>
      </c>
      <c r="AS15" s="13" t="n">
        <v>570</v>
      </c>
      <c r="AT15" s="13" t="n">
        <v>270</v>
      </c>
      <c r="AU15" s="14" t="s">
        <v>33</v>
      </c>
      <c r="AV15" s="13" t="n">
        <v>440</v>
      </c>
      <c r="AW15" s="14" t="s">
        <v>33</v>
      </c>
      <c r="AX15" s="13" t="n">
        <v>530</v>
      </c>
      <c r="AY15" s="14" t="s">
        <v>33</v>
      </c>
      <c r="AZ15" s="13" t="n">
        <v>540</v>
      </c>
      <c r="BA15" s="14" t="s">
        <v>33</v>
      </c>
      <c r="BB15" s="13" t="s">
        <v>33</v>
      </c>
      <c r="BC15" s="14" t="s">
        <v>33</v>
      </c>
      <c r="BD15" s="13" t="n">
        <v>540</v>
      </c>
      <c r="BE15" s="13" t="n">
        <v>125</v>
      </c>
      <c r="BF15" s="14" t="n">
        <v>0.221</v>
      </c>
      <c r="BG15" s="13" t="n">
        <v>295</v>
      </c>
      <c r="BH15" s="14" t="n">
        <v>0.523</v>
      </c>
      <c r="BI15" s="13" t="n">
        <v>460</v>
      </c>
      <c r="BJ15" s="14" t="n">
        <v>0.814</v>
      </c>
      <c r="BK15" s="13" t="n">
        <v>510</v>
      </c>
      <c r="BL15" s="14" t="n">
        <v>0.903</v>
      </c>
      <c r="BM15" s="13" t="n">
        <v>55</v>
      </c>
      <c r="BN15" s="14" t="n">
        <v>0.097</v>
      </c>
      <c r="BO15" s="13" t="n">
        <v>565</v>
      </c>
    </row>
    <row r="16" customFormat="false" ht="15" hidden="false" customHeight="false" outlineLevel="0" collapsed="false">
      <c r="A16" s="12" t="s">
        <v>159</v>
      </c>
      <c r="B16" s="13" t="n">
        <v>65</v>
      </c>
      <c r="C16" s="14" t="s">
        <v>33</v>
      </c>
      <c r="D16" s="13" t="n">
        <v>100</v>
      </c>
      <c r="E16" s="14" t="s">
        <v>33</v>
      </c>
      <c r="F16" s="13" t="n">
        <v>115</v>
      </c>
      <c r="G16" s="14" t="s">
        <v>33</v>
      </c>
      <c r="H16" s="13" t="n">
        <v>120</v>
      </c>
      <c r="I16" s="14" t="s">
        <v>33</v>
      </c>
      <c r="J16" s="13" t="s">
        <v>33</v>
      </c>
      <c r="K16" s="14" t="s">
        <v>33</v>
      </c>
      <c r="L16" s="13" t="n">
        <v>120</v>
      </c>
      <c r="M16" s="13" t="n">
        <v>70</v>
      </c>
      <c r="N16" s="14" t="s">
        <v>33</v>
      </c>
      <c r="O16" s="13" t="n">
        <v>100</v>
      </c>
      <c r="P16" s="14" t="s">
        <v>33</v>
      </c>
      <c r="Q16" s="13" t="n">
        <v>115</v>
      </c>
      <c r="R16" s="14" t="s">
        <v>33</v>
      </c>
      <c r="S16" s="13" t="n">
        <v>120</v>
      </c>
      <c r="T16" s="14" t="s">
        <v>33</v>
      </c>
      <c r="U16" s="13" t="s">
        <v>33</v>
      </c>
      <c r="V16" s="14" t="s">
        <v>33</v>
      </c>
      <c r="W16" s="13" t="n">
        <v>125</v>
      </c>
      <c r="X16" s="13" t="n">
        <v>75</v>
      </c>
      <c r="Y16" s="14" t="s">
        <v>33</v>
      </c>
      <c r="Z16" s="13" t="n">
        <v>100</v>
      </c>
      <c r="AA16" s="14" t="s">
        <v>33</v>
      </c>
      <c r="AB16" s="13" t="n">
        <v>115</v>
      </c>
      <c r="AC16" s="14" t="s">
        <v>33</v>
      </c>
      <c r="AD16" s="13" t="n">
        <v>120</v>
      </c>
      <c r="AE16" s="14" t="s">
        <v>33</v>
      </c>
      <c r="AF16" s="13" t="s">
        <v>33</v>
      </c>
      <c r="AG16" s="14" t="s">
        <v>33</v>
      </c>
      <c r="AH16" s="13" t="n">
        <v>125</v>
      </c>
      <c r="AI16" s="13" t="n">
        <v>65</v>
      </c>
      <c r="AJ16" s="14" t="n">
        <v>0.835</v>
      </c>
      <c r="AK16" s="13" t="n">
        <v>75</v>
      </c>
      <c r="AL16" s="14" t="n">
        <v>0.962</v>
      </c>
      <c r="AM16" s="13" t="n">
        <v>80</v>
      </c>
      <c r="AN16" s="14" t="n">
        <v>1</v>
      </c>
      <c r="AO16" s="13" t="n">
        <v>80</v>
      </c>
      <c r="AP16" s="14" t="n">
        <v>1</v>
      </c>
      <c r="AQ16" s="13" t="n">
        <v>0</v>
      </c>
      <c r="AR16" s="14" t="n">
        <v>0</v>
      </c>
      <c r="AS16" s="13" t="n">
        <v>80</v>
      </c>
      <c r="AT16" s="13" t="n">
        <v>70</v>
      </c>
      <c r="AU16" s="14" t="n">
        <v>0.68</v>
      </c>
      <c r="AV16" s="13" t="n">
        <v>90</v>
      </c>
      <c r="AW16" s="14" t="n">
        <v>0.883</v>
      </c>
      <c r="AX16" s="13" t="n">
        <v>100</v>
      </c>
      <c r="AY16" s="14" t="n">
        <v>0.99</v>
      </c>
      <c r="AZ16" s="13" t="n">
        <v>105</v>
      </c>
      <c r="BA16" s="14" t="n">
        <v>1</v>
      </c>
      <c r="BB16" s="13" t="n">
        <v>0</v>
      </c>
      <c r="BC16" s="14" t="n">
        <v>0</v>
      </c>
      <c r="BD16" s="13" t="n">
        <v>105</v>
      </c>
      <c r="BE16" s="13" t="n">
        <v>60</v>
      </c>
      <c r="BF16" s="14" t="s">
        <v>33</v>
      </c>
      <c r="BG16" s="13" t="n">
        <v>80</v>
      </c>
      <c r="BH16" s="14" t="s">
        <v>33</v>
      </c>
      <c r="BI16" s="13" t="n">
        <v>100</v>
      </c>
      <c r="BJ16" s="14" t="s">
        <v>33</v>
      </c>
      <c r="BK16" s="13" t="n">
        <v>105</v>
      </c>
      <c r="BL16" s="14" t="s">
        <v>33</v>
      </c>
      <c r="BM16" s="13" t="s">
        <v>33</v>
      </c>
      <c r="BN16" s="14" t="s">
        <v>33</v>
      </c>
      <c r="BO16" s="13" t="n">
        <v>105</v>
      </c>
    </row>
    <row r="17" customFormat="false" ht="15" hidden="false" customHeight="false" outlineLevel="0" collapsed="false">
      <c r="A17" s="12" t="s">
        <v>85</v>
      </c>
      <c r="B17" s="13" t="n">
        <v>5</v>
      </c>
      <c r="C17" s="14" t="n">
        <v>0.089</v>
      </c>
      <c r="D17" s="13" t="n">
        <v>15</v>
      </c>
      <c r="E17" s="14" t="n">
        <v>0.25</v>
      </c>
      <c r="F17" s="13" t="n">
        <v>25</v>
      </c>
      <c r="G17" s="14" t="n">
        <v>0.464</v>
      </c>
      <c r="H17" s="13" t="n">
        <v>40</v>
      </c>
      <c r="I17" s="14" t="n">
        <v>0.696</v>
      </c>
      <c r="J17" s="13" t="n">
        <v>15</v>
      </c>
      <c r="K17" s="14" t="n">
        <v>0.304</v>
      </c>
      <c r="L17" s="13" t="n">
        <v>55</v>
      </c>
      <c r="M17" s="13" t="n">
        <v>10</v>
      </c>
      <c r="N17" s="14" t="n">
        <v>0.148</v>
      </c>
      <c r="O17" s="13" t="n">
        <v>20</v>
      </c>
      <c r="P17" s="14" t="n">
        <v>0.352</v>
      </c>
      <c r="Q17" s="13" t="n">
        <v>35</v>
      </c>
      <c r="R17" s="14" t="n">
        <v>0.611</v>
      </c>
      <c r="S17" s="13" t="n">
        <v>45</v>
      </c>
      <c r="T17" s="14" t="n">
        <v>0.833</v>
      </c>
      <c r="U17" s="13" t="n">
        <v>10</v>
      </c>
      <c r="V17" s="14" t="n">
        <v>0.167</v>
      </c>
      <c r="W17" s="13" t="n">
        <v>55</v>
      </c>
      <c r="X17" s="13" t="n">
        <v>15</v>
      </c>
      <c r="Y17" s="14" t="n">
        <v>0.156</v>
      </c>
      <c r="Z17" s="13" t="n">
        <v>25</v>
      </c>
      <c r="AA17" s="14" t="n">
        <v>0.289</v>
      </c>
      <c r="AB17" s="13" t="n">
        <v>45</v>
      </c>
      <c r="AC17" s="14" t="n">
        <v>0.489</v>
      </c>
      <c r="AD17" s="13" t="n">
        <v>60</v>
      </c>
      <c r="AE17" s="14" t="n">
        <v>0.689</v>
      </c>
      <c r="AF17" s="13" t="n">
        <v>30</v>
      </c>
      <c r="AG17" s="14" t="n">
        <v>0.311</v>
      </c>
      <c r="AH17" s="13" t="n">
        <v>90</v>
      </c>
      <c r="AI17" s="13" t="n">
        <v>30</v>
      </c>
      <c r="AJ17" s="14" t="s">
        <v>33</v>
      </c>
      <c r="AK17" s="13" t="n">
        <v>55</v>
      </c>
      <c r="AL17" s="14" t="s">
        <v>33</v>
      </c>
      <c r="AM17" s="13" t="n">
        <v>75</v>
      </c>
      <c r="AN17" s="14" t="s">
        <v>33</v>
      </c>
      <c r="AO17" s="13" t="n">
        <v>85</v>
      </c>
      <c r="AP17" s="14" t="s">
        <v>33</v>
      </c>
      <c r="AQ17" s="13" t="s">
        <v>33</v>
      </c>
      <c r="AR17" s="14" t="s">
        <v>33</v>
      </c>
      <c r="AS17" s="13" t="n">
        <v>90</v>
      </c>
      <c r="AT17" s="13" t="n">
        <v>10</v>
      </c>
      <c r="AU17" s="14" t="s">
        <v>33</v>
      </c>
      <c r="AV17" s="13" t="n">
        <v>20</v>
      </c>
      <c r="AW17" s="14" t="s">
        <v>33</v>
      </c>
      <c r="AX17" s="13" t="n">
        <v>35</v>
      </c>
      <c r="AY17" s="14" t="s">
        <v>33</v>
      </c>
      <c r="AZ17" s="13" t="n">
        <v>40</v>
      </c>
      <c r="BA17" s="14" t="s">
        <v>33</v>
      </c>
      <c r="BB17" s="13" t="s">
        <v>33</v>
      </c>
      <c r="BC17" s="14" t="s">
        <v>33</v>
      </c>
      <c r="BD17" s="13" t="n">
        <v>45</v>
      </c>
      <c r="BE17" s="13" t="n">
        <v>10</v>
      </c>
      <c r="BF17" s="14" t="s">
        <v>33</v>
      </c>
      <c r="BG17" s="13" t="n">
        <v>15</v>
      </c>
      <c r="BH17" s="14" t="s">
        <v>33</v>
      </c>
      <c r="BI17" s="13" t="n">
        <v>30</v>
      </c>
      <c r="BJ17" s="14" t="s">
        <v>33</v>
      </c>
      <c r="BK17" s="13" t="n">
        <v>35</v>
      </c>
      <c r="BL17" s="14" t="s">
        <v>33</v>
      </c>
      <c r="BM17" s="13" t="s">
        <v>33</v>
      </c>
      <c r="BN17" s="14" t="s">
        <v>33</v>
      </c>
      <c r="BO17" s="13" t="n">
        <v>35</v>
      </c>
    </row>
    <row r="18" customFormat="false" ht="15" hidden="false" customHeight="false" outlineLevel="0" collapsed="false">
      <c r="A18" s="12" t="s">
        <v>60</v>
      </c>
      <c r="B18" s="13" t="n">
        <v>540</v>
      </c>
      <c r="C18" s="14" t="n">
        <v>0.181</v>
      </c>
      <c r="D18" s="13" t="n">
        <v>1195</v>
      </c>
      <c r="E18" s="14" t="n">
        <v>0.4</v>
      </c>
      <c r="F18" s="13" t="n">
        <v>2120</v>
      </c>
      <c r="G18" s="14" t="n">
        <v>0.709</v>
      </c>
      <c r="H18" s="13" t="n">
        <v>2770</v>
      </c>
      <c r="I18" s="14" t="n">
        <v>0.925</v>
      </c>
      <c r="J18" s="13" t="n">
        <v>225</v>
      </c>
      <c r="K18" s="14" t="n">
        <v>0.075</v>
      </c>
      <c r="L18" s="13" t="n">
        <v>2990</v>
      </c>
      <c r="M18" s="13" t="n">
        <v>645</v>
      </c>
      <c r="N18" s="14" t="n">
        <v>0.245</v>
      </c>
      <c r="O18" s="13" t="n">
        <v>1380</v>
      </c>
      <c r="P18" s="14" t="n">
        <v>0.523</v>
      </c>
      <c r="Q18" s="13" t="n">
        <v>2075</v>
      </c>
      <c r="R18" s="14" t="n">
        <v>0.787</v>
      </c>
      <c r="S18" s="13" t="n">
        <v>2530</v>
      </c>
      <c r="T18" s="14" t="n">
        <v>0.961</v>
      </c>
      <c r="U18" s="13" t="n">
        <v>105</v>
      </c>
      <c r="V18" s="14" t="n">
        <v>0.039</v>
      </c>
      <c r="W18" s="13" t="n">
        <v>2635</v>
      </c>
      <c r="X18" s="13" t="n">
        <v>775</v>
      </c>
      <c r="Y18" s="14" t="n">
        <v>0.279</v>
      </c>
      <c r="Z18" s="13" t="n">
        <v>1590</v>
      </c>
      <c r="AA18" s="14" t="n">
        <v>0.573</v>
      </c>
      <c r="AB18" s="13" t="n">
        <v>2325</v>
      </c>
      <c r="AC18" s="14" t="n">
        <v>0.84</v>
      </c>
      <c r="AD18" s="13" t="n">
        <v>2695</v>
      </c>
      <c r="AE18" s="14" t="n">
        <v>0.973</v>
      </c>
      <c r="AF18" s="13" t="n">
        <v>75</v>
      </c>
      <c r="AG18" s="14" t="n">
        <v>0.027</v>
      </c>
      <c r="AH18" s="13" t="n">
        <v>2770</v>
      </c>
      <c r="AI18" s="13" t="n">
        <v>1300</v>
      </c>
      <c r="AJ18" s="14" t="n">
        <v>0.459</v>
      </c>
      <c r="AK18" s="13" t="n">
        <v>2055</v>
      </c>
      <c r="AL18" s="14" t="n">
        <v>0.726</v>
      </c>
      <c r="AM18" s="13" t="n">
        <v>2595</v>
      </c>
      <c r="AN18" s="14" t="n">
        <v>0.918</v>
      </c>
      <c r="AO18" s="13" t="n">
        <v>2750</v>
      </c>
      <c r="AP18" s="14" t="n">
        <v>0.971</v>
      </c>
      <c r="AQ18" s="13" t="n">
        <v>80</v>
      </c>
      <c r="AR18" s="14" t="n">
        <v>0.029</v>
      </c>
      <c r="AS18" s="13" t="n">
        <v>2830</v>
      </c>
      <c r="AT18" s="13" t="n">
        <v>835</v>
      </c>
      <c r="AU18" s="14" t="n">
        <v>0.373</v>
      </c>
      <c r="AV18" s="13" t="n">
        <v>1545</v>
      </c>
      <c r="AW18" s="14" t="n">
        <v>0.689</v>
      </c>
      <c r="AX18" s="13" t="n">
        <v>2075</v>
      </c>
      <c r="AY18" s="14" t="n">
        <v>0.925</v>
      </c>
      <c r="AZ18" s="13" t="n">
        <v>2195</v>
      </c>
      <c r="BA18" s="14" t="n">
        <v>0.98</v>
      </c>
      <c r="BB18" s="13" t="n">
        <v>45</v>
      </c>
      <c r="BC18" s="14" t="n">
        <v>0.02</v>
      </c>
      <c r="BD18" s="13" t="n">
        <v>2240</v>
      </c>
      <c r="BE18" s="13" t="n">
        <v>485</v>
      </c>
      <c r="BF18" s="14" t="n">
        <v>0.207</v>
      </c>
      <c r="BG18" s="13" t="n">
        <v>1115</v>
      </c>
      <c r="BH18" s="14" t="n">
        <v>0.475</v>
      </c>
      <c r="BI18" s="13" t="n">
        <v>1840</v>
      </c>
      <c r="BJ18" s="14" t="n">
        <v>0.784</v>
      </c>
      <c r="BK18" s="13" t="n">
        <v>2120</v>
      </c>
      <c r="BL18" s="14" t="n">
        <v>0.903</v>
      </c>
      <c r="BM18" s="13" t="n">
        <v>230</v>
      </c>
      <c r="BN18" s="14" t="n">
        <v>0.097</v>
      </c>
      <c r="BO18" s="13" t="n">
        <v>2345</v>
      </c>
    </row>
    <row r="19" customFormat="false" ht="15" hidden="false" customHeight="false" outlineLevel="0" collapsed="false">
      <c r="A19" s="12" t="s">
        <v>32</v>
      </c>
      <c r="B19" s="13" t="n">
        <v>150</v>
      </c>
      <c r="C19" s="14" t="n">
        <v>0.391</v>
      </c>
      <c r="D19" s="13" t="n">
        <v>245</v>
      </c>
      <c r="E19" s="14" t="n">
        <v>0.646</v>
      </c>
      <c r="F19" s="13" t="n">
        <v>315</v>
      </c>
      <c r="G19" s="14" t="n">
        <v>0.828</v>
      </c>
      <c r="H19" s="13" t="n">
        <v>355</v>
      </c>
      <c r="I19" s="14" t="n">
        <v>0.934</v>
      </c>
      <c r="J19" s="13" t="n">
        <v>25</v>
      </c>
      <c r="K19" s="14" t="n">
        <v>0.066</v>
      </c>
      <c r="L19" s="13" t="n">
        <v>380</v>
      </c>
      <c r="M19" s="13" t="n">
        <v>165</v>
      </c>
      <c r="N19" s="14" t="n">
        <v>0.367</v>
      </c>
      <c r="O19" s="13" t="n">
        <v>270</v>
      </c>
      <c r="P19" s="14" t="n">
        <v>0.601</v>
      </c>
      <c r="Q19" s="13" t="n">
        <v>365</v>
      </c>
      <c r="R19" s="14" t="n">
        <v>0.813</v>
      </c>
      <c r="S19" s="13" t="n">
        <v>415</v>
      </c>
      <c r="T19" s="14" t="n">
        <v>0.929</v>
      </c>
      <c r="U19" s="13" t="n">
        <v>30</v>
      </c>
      <c r="V19" s="14" t="n">
        <v>0.071</v>
      </c>
      <c r="W19" s="13" t="n">
        <v>450</v>
      </c>
      <c r="X19" s="13" t="n">
        <v>225</v>
      </c>
      <c r="Y19" s="14" t="n">
        <v>0.443</v>
      </c>
      <c r="Z19" s="13" t="n">
        <v>325</v>
      </c>
      <c r="AA19" s="14" t="n">
        <v>0.639</v>
      </c>
      <c r="AB19" s="13" t="n">
        <v>425</v>
      </c>
      <c r="AC19" s="14" t="n">
        <v>0.833</v>
      </c>
      <c r="AD19" s="13" t="n">
        <v>480</v>
      </c>
      <c r="AE19" s="14" t="n">
        <v>0.943</v>
      </c>
      <c r="AF19" s="13" t="n">
        <v>30</v>
      </c>
      <c r="AG19" s="14" t="n">
        <v>0.057</v>
      </c>
      <c r="AH19" s="13" t="n">
        <v>510</v>
      </c>
      <c r="AI19" s="13" t="n">
        <v>355</v>
      </c>
      <c r="AJ19" s="14" t="n">
        <v>0.601</v>
      </c>
      <c r="AK19" s="13" t="n">
        <v>485</v>
      </c>
      <c r="AL19" s="14" t="n">
        <v>0.821</v>
      </c>
      <c r="AM19" s="13" t="n">
        <v>560</v>
      </c>
      <c r="AN19" s="14" t="n">
        <v>0.946</v>
      </c>
      <c r="AO19" s="13" t="n">
        <v>580</v>
      </c>
      <c r="AP19" s="14" t="n">
        <v>0.985</v>
      </c>
      <c r="AQ19" s="13" t="n">
        <v>10</v>
      </c>
      <c r="AR19" s="14" t="n">
        <v>0.015</v>
      </c>
      <c r="AS19" s="13" t="n">
        <v>590</v>
      </c>
      <c r="AT19" s="13" t="n">
        <v>340</v>
      </c>
      <c r="AU19" s="14" t="s">
        <v>33</v>
      </c>
      <c r="AV19" s="13" t="n">
        <v>490</v>
      </c>
      <c r="AW19" s="14" t="s">
        <v>33</v>
      </c>
      <c r="AX19" s="13" t="n">
        <v>555</v>
      </c>
      <c r="AY19" s="14" t="s">
        <v>33</v>
      </c>
      <c r="AZ19" s="13" t="n">
        <v>570</v>
      </c>
      <c r="BA19" s="14" t="s">
        <v>33</v>
      </c>
      <c r="BB19" s="13" t="s">
        <v>33</v>
      </c>
      <c r="BC19" s="14" t="s">
        <v>33</v>
      </c>
      <c r="BD19" s="13" t="n">
        <v>575</v>
      </c>
      <c r="BE19" s="13" t="n">
        <v>240</v>
      </c>
      <c r="BF19" s="14" t="n">
        <v>0.395</v>
      </c>
      <c r="BG19" s="13" t="n">
        <v>350</v>
      </c>
      <c r="BH19" s="14" t="n">
        <v>0.577</v>
      </c>
      <c r="BI19" s="13" t="n">
        <v>465</v>
      </c>
      <c r="BJ19" s="14" t="n">
        <v>0.774</v>
      </c>
      <c r="BK19" s="13" t="n">
        <v>500</v>
      </c>
      <c r="BL19" s="14" t="n">
        <v>0.833</v>
      </c>
      <c r="BM19" s="13" t="n">
        <v>100</v>
      </c>
      <c r="BN19" s="14" t="n">
        <v>0.167</v>
      </c>
      <c r="BO19" s="13" t="n">
        <v>605</v>
      </c>
    </row>
    <row r="20" customFormat="false" ht="15" hidden="false" customHeight="false" outlineLevel="0" collapsed="false">
      <c r="A20" s="12" t="s">
        <v>34</v>
      </c>
      <c r="B20" s="13" t="n">
        <v>10</v>
      </c>
      <c r="C20" s="14" t="n">
        <v>0.769</v>
      </c>
      <c r="D20" s="13" t="n">
        <v>10</v>
      </c>
      <c r="E20" s="14" t="n">
        <v>0.923</v>
      </c>
      <c r="F20" s="13" t="n">
        <v>10</v>
      </c>
      <c r="G20" s="14" t="n">
        <v>0.923</v>
      </c>
      <c r="H20" s="13" t="n">
        <v>15</v>
      </c>
      <c r="I20" s="14" t="n">
        <v>1</v>
      </c>
      <c r="J20" s="13" t="n">
        <v>0</v>
      </c>
      <c r="K20" s="14" t="n">
        <v>0</v>
      </c>
      <c r="L20" s="13" t="n">
        <v>15</v>
      </c>
      <c r="M20" s="13" t="n">
        <v>10</v>
      </c>
      <c r="N20" s="14" t="n">
        <v>0.8</v>
      </c>
      <c r="O20" s="13" t="n">
        <v>10</v>
      </c>
      <c r="P20" s="14" t="n">
        <v>0.8</v>
      </c>
      <c r="Q20" s="13" t="n">
        <v>10</v>
      </c>
      <c r="R20" s="14" t="n">
        <v>0.9</v>
      </c>
      <c r="S20" s="13" t="n">
        <v>10</v>
      </c>
      <c r="T20" s="14" t="n">
        <v>1</v>
      </c>
      <c r="U20" s="13" t="n">
        <v>0</v>
      </c>
      <c r="V20" s="14" t="n">
        <v>0</v>
      </c>
      <c r="W20" s="13" t="n">
        <v>10</v>
      </c>
      <c r="X20" s="13" t="n">
        <v>5</v>
      </c>
      <c r="Y20" s="14" t="n">
        <v>0.5</v>
      </c>
      <c r="Z20" s="13" t="n">
        <v>5</v>
      </c>
      <c r="AA20" s="14" t="n">
        <v>0.7</v>
      </c>
      <c r="AB20" s="13" t="n">
        <v>10</v>
      </c>
      <c r="AC20" s="14" t="n">
        <v>1</v>
      </c>
      <c r="AD20" s="13" t="n">
        <v>10</v>
      </c>
      <c r="AE20" s="14" t="n">
        <v>1</v>
      </c>
      <c r="AF20" s="13" t="n">
        <v>0</v>
      </c>
      <c r="AG20" s="14" t="n">
        <v>0</v>
      </c>
      <c r="AH20" s="13" t="n">
        <v>10</v>
      </c>
      <c r="AI20" s="13" t="n">
        <v>5</v>
      </c>
      <c r="AJ20" s="14" t="n">
        <v>0.778</v>
      </c>
      <c r="AK20" s="13" t="n">
        <v>10</v>
      </c>
      <c r="AL20" s="14" t="n">
        <v>0.889</v>
      </c>
      <c r="AM20" s="13" t="n">
        <v>10</v>
      </c>
      <c r="AN20" s="14" t="n">
        <v>1</v>
      </c>
      <c r="AO20" s="13" t="n">
        <v>10</v>
      </c>
      <c r="AP20" s="14" t="n">
        <v>1</v>
      </c>
      <c r="AQ20" s="13" t="n">
        <v>0</v>
      </c>
      <c r="AR20" s="14" t="n">
        <v>0</v>
      </c>
      <c r="AS20" s="13" t="n">
        <v>10</v>
      </c>
      <c r="AT20" s="13" t="n">
        <v>5</v>
      </c>
      <c r="AU20" s="14" t="s">
        <v>33</v>
      </c>
      <c r="AV20" s="13" t="n">
        <v>10</v>
      </c>
      <c r="AW20" s="14" t="s">
        <v>33</v>
      </c>
      <c r="AX20" s="13" t="n">
        <v>10</v>
      </c>
      <c r="AY20" s="14" t="s">
        <v>33</v>
      </c>
      <c r="AZ20" s="13" t="n">
        <v>10</v>
      </c>
      <c r="BA20" s="14" t="s">
        <v>33</v>
      </c>
      <c r="BB20" s="13" t="s">
        <v>33</v>
      </c>
      <c r="BC20" s="14" t="s">
        <v>33</v>
      </c>
      <c r="BD20" s="13" t="n">
        <v>10</v>
      </c>
      <c r="BE20" s="13" t="n">
        <v>5</v>
      </c>
      <c r="BF20" s="14" t="s">
        <v>33</v>
      </c>
      <c r="BG20" s="13" t="n">
        <v>15</v>
      </c>
      <c r="BH20" s="14" t="s">
        <v>33</v>
      </c>
      <c r="BI20" s="13" t="n">
        <v>15</v>
      </c>
      <c r="BJ20" s="14" t="s">
        <v>33</v>
      </c>
      <c r="BK20" s="13" t="n">
        <v>20</v>
      </c>
      <c r="BL20" s="14" t="s">
        <v>33</v>
      </c>
      <c r="BM20" s="13" t="s">
        <v>33</v>
      </c>
      <c r="BN20" s="14" t="s">
        <v>33</v>
      </c>
      <c r="BO20" s="13" t="n">
        <v>20</v>
      </c>
    </row>
    <row r="21" customFormat="false" ht="15" hidden="false" customHeight="false" outlineLevel="0" collapsed="false">
      <c r="A21" s="12" t="s">
        <v>36</v>
      </c>
      <c r="B21" s="13" t="n">
        <v>15</v>
      </c>
      <c r="C21" s="14" t="n">
        <v>0.419</v>
      </c>
      <c r="D21" s="13" t="n">
        <v>25</v>
      </c>
      <c r="E21" s="14" t="n">
        <v>0.871</v>
      </c>
      <c r="F21" s="13" t="n">
        <v>30</v>
      </c>
      <c r="G21" s="14" t="n">
        <v>0.968</v>
      </c>
      <c r="H21" s="13" t="n">
        <v>30</v>
      </c>
      <c r="I21" s="14" t="n">
        <v>1</v>
      </c>
      <c r="J21" s="13" t="n">
        <v>0</v>
      </c>
      <c r="K21" s="14" t="n">
        <v>0</v>
      </c>
      <c r="L21" s="13" t="n">
        <v>30</v>
      </c>
      <c r="M21" s="13" t="n">
        <v>10</v>
      </c>
      <c r="N21" s="14" t="n">
        <v>0.6</v>
      </c>
      <c r="O21" s="13" t="n">
        <v>15</v>
      </c>
      <c r="P21" s="14" t="n">
        <v>0.85</v>
      </c>
      <c r="Q21" s="13" t="n">
        <v>20</v>
      </c>
      <c r="R21" s="14" t="n">
        <v>0.9</v>
      </c>
      <c r="S21" s="13" t="n">
        <v>20</v>
      </c>
      <c r="T21" s="14" t="n">
        <v>1</v>
      </c>
      <c r="U21" s="13" t="n">
        <v>0</v>
      </c>
      <c r="V21" s="14" t="n">
        <v>0</v>
      </c>
      <c r="W21" s="13" t="n">
        <v>20</v>
      </c>
      <c r="X21" s="13" t="n">
        <v>10</v>
      </c>
      <c r="Y21" s="14" t="s">
        <v>33</v>
      </c>
      <c r="Z21" s="13" t="n">
        <v>20</v>
      </c>
      <c r="AA21" s="14" t="s">
        <v>33</v>
      </c>
      <c r="AB21" s="13" t="n">
        <v>25</v>
      </c>
      <c r="AC21" s="14" t="s">
        <v>33</v>
      </c>
      <c r="AD21" s="13" t="n">
        <v>25</v>
      </c>
      <c r="AE21" s="14" t="s">
        <v>33</v>
      </c>
      <c r="AF21" s="13" t="s">
        <v>33</v>
      </c>
      <c r="AG21" s="14" t="s">
        <v>33</v>
      </c>
      <c r="AH21" s="13" t="n">
        <v>25</v>
      </c>
      <c r="AI21" s="13" t="n">
        <v>20</v>
      </c>
      <c r="AJ21" s="14" t="n">
        <v>0.633</v>
      </c>
      <c r="AK21" s="13" t="n">
        <v>25</v>
      </c>
      <c r="AL21" s="14" t="n">
        <v>0.833</v>
      </c>
      <c r="AM21" s="13" t="n">
        <v>30</v>
      </c>
      <c r="AN21" s="14" t="n">
        <v>0.967</v>
      </c>
      <c r="AO21" s="13" t="n">
        <v>30</v>
      </c>
      <c r="AP21" s="14" t="n">
        <v>1</v>
      </c>
      <c r="AQ21" s="13" t="n">
        <v>0</v>
      </c>
      <c r="AR21" s="14" t="n">
        <v>0</v>
      </c>
      <c r="AS21" s="13" t="n">
        <v>30</v>
      </c>
      <c r="AT21" s="13" t="n">
        <v>25</v>
      </c>
      <c r="AU21" s="14" t="s">
        <v>33</v>
      </c>
      <c r="AV21" s="13" t="n">
        <v>35</v>
      </c>
      <c r="AW21" s="14" t="s">
        <v>33</v>
      </c>
      <c r="AX21" s="13" t="n">
        <v>40</v>
      </c>
      <c r="AY21" s="14" t="s">
        <v>33</v>
      </c>
      <c r="AZ21" s="13" t="n">
        <v>40</v>
      </c>
      <c r="BA21" s="14" t="s">
        <v>33</v>
      </c>
      <c r="BB21" s="13" t="s">
        <v>33</v>
      </c>
      <c r="BC21" s="14" t="s">
        <v>33</v>
      </c>
      <c r="BD21" s="13" t="n">
        <v>45</v>
      </c>
      <c r="BE21" s="13" t="n">
        <v>15</v>
      </c>
      <c r="BF21" s="14" t="n">
        <v>0.448</v>
      </c>
      <c r="BG21" s="13" t="n">
        <v>20</v>
      </c>
      <c r="BH21" s="14" t="n">
        <v>0.724</v>
      </c>
      <c r="BI21" s="13" t="n">
        <v>25</v>
      </c>
      <c r="BJ21" s="14" t="n">
        <v>0.931</v>
      </c>
      <c r="BK21" s="13" t="n">
        <v>30</v>
      </c>
      <c r="BL21" s="14" t="n">
        <v>1</v>
      </c>
      <c r="BM21" s="13" t="n">
        <v>0</v>
      </c>
      <c r="BN21" s="14" t="n">
        <v>0</v>
      </c>
      <c r="BO21" s="13" t="n">
        <v>30</v>
      </c>
    </row>
    <row r="22" customFormat="false" ht="15" hidden="false" customHeight="false" outlineLevel="0" collapsed="false">
      <c r="A22" s="12" t="s">
        <v>64</v>
      </c>
      <c r="B22" s="13" t="n">
        <v>250</v>
      </c>
      <c r="C22" s="14" t="n">
        <v>0.253</v>
      </c>
      <c r="D22" s="13" t="n">
        <v>550</v>
      </c>
      <c r="E22" s="14" t="n">
        <v>0.555</v>
      </c>
      <c r="F22" s="13" t="n">
        <v>825</v>
      </c>
      <c r="G22" s="14" t="n">
        <v>0.828</v>
      </c>
      <c r="H22" s="13" t="n">
        <v>945</v>
      </c>
      <c r="I22" s="14" t="n">
        <v>0.951</v>
      </c>
      <c r="J22" s="13" t="n">
        <v>50</v>
      </c>
      <c r="K22" s="14" t="n">
        <v>0.049</v>
      </c>
      <c r="L22" s="13" t="n">
        <v>995</v>
      </c>
      <c r="M22" s="13" t="n">
        <v>275</v>
      </c>
      <c r="N22" s="14" t="n">
        <v>0.282</v>
      </c>
      <c r="O22" s="13" t="n">
        <v>605</v>
      </c>
      <c r="P22" s="14" t="n">
        <v>0.62</v>
      </c>
      <c r="Q22" s="13" t="n">
        <v>845</v>
      </c>
      <c r="R22" s="14" t="n">
        <v>0.864</v>
      </c>
      <c r="S22" s="13" t="n">
        <v>940</v>
      </c>
      <c r="T22" s="14" t="n">
        <v>0.96</v>
      </c>
      <c r="U22" s="13" t="n">
        <v>40</v>
      </c>
      <c r="V22" s="14" t="n">
        <v>0.04</v>
      </c>
      <c r="W22" s="13" t="n">
        <v>980</v>
      </c>
      <c r="X22" s="13" t="n">
        <v>250</v>
      </c>
      <c r="Y22" s="14" t="n">
        <v>0.244</v>
      </c>
      <c r="Z22" s="13" t="n">
        <v>605</v>
      </c>
      <c r="AA22" s="14" t="n">
        <v>0.592</v>
      </c>
      <c r="AB22" s="13" t="n">
        <v>895</v>
      </c>
      <c r="AC22" s="14" t="n">
        <v>0.872</v>
      </c>
      <c r="AD22" s="13" t="n">
        <v>995</v>
      </c>
      <c r="AE22" s="14" t="n">
        <v>0.973</v>
      </c>
      <c r="AF22" s="13" t="n">
        <v>30</v>
      </c>
      <c r="AG22" s="14" t="n">
        <v>0.027</v>
      </c>
      <c r="AH22" s="13" t="n">
        <v>1025</v>
      </c>
      <c r="AI22" s="13" t="n">
        <v>370</v>
      </c>
      <c r="AJ22" s="14" t="n">
        <v>0.463</v>
      </c>
      <c r="AK22" s="13" t="n">
        <v>590</v>
      </c>
      <c r="AL22" s="14" t="n">
        <v>0.744</v>
      </c>
      <c r="AM22" s="13" t="n">
        <v>740</v>
      </c>
      <c r="AN22" s="14" t="n">
        <v>0.935</v>
      </c>
      <c r="AO22" s="13" t="n">
        <v>775</v>
      </c>
      <c r="AP22" s="14" t="n">
        <v>0.977</v>
      </c>
      <c r="AQ22" s="13" t="n">
        <v>20</v>
      </c>
      <c r="AR22" s="14" t="n">
        <v>0.023</v>
      </c>
      <c r="AS22" s="13" t="n">
        <v>795</v>
      </c>
      <c r="AT22" s="13" t="n">
        <v>320</v>
      </c>
      <c r="AU22" s="14" t="n">
        <v>0.424</v>
      </c>
      <c r="AV22" s="13" t="n">
        <v>565</v>
      </c>
      <c r="AW22" s="14" t="n">
        <v>0.752</v>
      </c>
      <c r="AX22" s="13" t="n">
        <v>715</v>
      </c>
      <c r="AY22" s="14" t="n">
        <v>0.953</v>
      </c>
      <c r="AZ22" s="13" t="n">
        <v>740</v>
      </c>
      <c r="BA22" s="14" t="n">
        <v>0.987</v>
      </c>
      <c r="BB22" s="13" t="n">
        <v>10</v>
      </c>
      <c r="BC22" s="14" t="n">
        <v>0.013</v>
      </c>
      <c r="BD22" s="13" t="n">
        <v>750</v>
      </c>
      <c r="BE22" s="13" t="n">
        <v>185</v>
      </c>
      <c r="BF22" s="14" t="n">
        <v>0.263</v>
      </c>
      <c r="BG22" s="13" t="n">
        <v>420</v>
      </c>
      <c r="BH22" s="14" t="n">
        <v>0.596</v>
      </c>
      <c r="BI22" s="13" t="n">
        <v>605</v>
      </c>
      <c r="BJ22" s="14" t="n">
        <v>0.855</v>
      </c>
      <c r="BK22" s="13" t="n">
        <v>665</v>
      </c>
      <c r="BL22" s="14" t="n">
        <v>0.938</v>
      </c>
      <c r="BM22" s="13" t="n">
        <v>45</v>
      </c>
      <c r="BN22" s="14" t="n">
        <v>0.062</v>
      </c>
      <c r="BO22" s="13" t="n">
        <v>710</v>
      </c>
    </row>
    <row r="23" customFormat="false" ht="15" hidden="false" customHeight="false" outlineLevel="0" collapsed="false">
      <c r="A23" s="12" t="s">
        <v>37</v>
      </c>
      <c r="B23" s="13" t="n">
        <v>70</v>
      </c>
      <c r="C23" s="14" t="s">
        <v>33</v>
      </c>
      <c r="D23" s="13" t="n">
        <v>80</v>
      </c>
      <c r="E23" s="14" t="s">
        <v>33</v>
      </c>
      <c r="F23" s="13" t="n">
        <v>85</v>
      </c>
      <c r="G23" s="14" t="s">
        <v>33</v>
      </c>
      <c r="H23" s="13" t="n">
        <v>90</v>
      </c>
      <c r="I23" s="14" t="s">
        <v>33</v>
      </c>
      <c r="J23" s="13" t="s">
        <v>33</v>
      </c>
      <c r="K23" s="14" t="s">
        <v>33</v>
      </c>
      <c r="L23" s="13" t="n">
        <v>95</v>
      </c>
      <c r="M23" s="13" t="n">
        <v>50</v>
      </c>
      <c r="N23" s="14" t="n">
        <v>0.613</v>
      </c>
      <c r="O23" s="13" t="n">
        <v>65</v>
      </c>
      <c r="P23" s="14" t="n">
        <v>0.825</v>
      </c>
      <c r="Q23" s="13" t="n">
        <v>80</v>
      </c>
      <c r="R23" s="14" t="n">
        <v>0.988</v>
      </c>
      <c r="S23" s="13" t="n">
        <v>80</v>
      </c>
      <c r="T23" s="14" t="n">
        <v>1</v>
      </c>
      <c r="U23" s="13" t="n">
        <v>0</v>
      </c>
      <c r="V23" s="14" t="n">
        <v>0</v>
      </c>
      <c r="W23" s="13" t="n">
        <v>80</v>
      </c>
      <c r="X23" s="13" t="n">
        <v>65</v>
      </c>
      <c r="Y23" s="14" t="s">
        <v>33</v>
      </c>
      <c r="Z23" s="13" t="n">
        <v>90</v>
      </c>
      <c r="AA23" s="14" t="s">
        <v>33</v>
      </c>
      <c r="AB23" s="13" t="n">
        <v>100</v>
      </c>
      <c r="AC23" s="14" t="s">
        <v>33</v>
      </c>
      <c r="AD23" s="13" t="n">
        <v>105</v>
      </c>
      <c r="AE23" s="14" t="s">
        <v>33</v>
      </c>
      <c r="AF23" s="13" t="s">
        <v>33</v>
      </c>
      <c r="AG23" s="14" t="s">
        <v>33</v>
      </c>
      <c r="AH23" s="13" t="n">
        <v>110</v>
      </c>
      <c r="AI23" s="13" t="n">
        <v>95</v>
      </c>
      <c r="AJ23" s="14" t="s">
        <v>33</v>
      </c>
      <c r="AK23" s="13" t="n">
        <v>120</v>
      </c>
      <c r="AL23" s="14" t="s">
        <v>33</v>
      </c>
      <c r="AM23" s="13" t="n">
        <v>135</v>
      </c>
      <c r="AN23" s="14" t="s">
        <v>33</v>
      </c>
      <c r="AO23" s="13" t="n">
        <v>140</v>
      </c>
      <c r="AP23" s="14" t="s">
        <v>33</v>
      </c>
      <c r="AQ23" s="13" t="s">
        <v>33</v>
      </c>
      <c r="AR23" s="14" t="s">
        <v>33</v>
      </c>
      <c r="AS23" s="13" t="n">
        <v>145</v>
      </c>
      <c r="AT23" s="13" t="n">
        <v>50</v>
      </c>
      <c r="AU23" s="14" t="s">
        <v>33</v>
      </c>
      <c r="AV23" s="13" t="n">
        <v>80</v>
      </c>
      <c r="AW23" s="14" t="s">
        <v>33</v>
      </c>
      <c r="AX23" s="13" t="n">
        <v>100</v>
      </c>
      <c r="AY23" s="14" t="s">
        <v>33</v>
      </c>
      <c r="AZ23" s="13" t="n">
        <v>100</v>
      </c>
      <c r="BA23" s="14" t="s">
        <v>33</v>
      </c>
      <c r="BB23" s="13" t="s">
        <v>33</v>
      </c>
      <c r="BC23" s="14" t="s">
        <v>33</v>
      </c>
      <c r="BD23" s="13" t="n">
        <v>105</v>
      </c>
      <c r="BE23" s="13" t="n">
        <v>75</v>
      </c>
      <c r="BF23" s="14" t="s">
        <v>33</v>
      </c>
      <c r="BG23" s="13" t="n">
        <v>105</v>
      </c>
      <c r="BH23" s="14" t="s">
        <v>33</v>
      </c>
      <c r="BI23" s="13" t="n">
        <v>120</v>
      </c>
      <c r="BJ23" s="14" t="s">
        <v>33</v>
      </c>
      <c r="BK23" s="13" t="n">
        <v>125</v>
      </c>
      <c r="BL23" s="14" t="s">
        <v>33</v>
      </c>
      <c r="BM23" s="13" t="s">
        <v>33</v>
      </c>
      <c r="BN23" s="14" t="s">
        <v>33</v>
      </c>
      <c r="BO23" s="13" t="n">
        <v>125</v>
      </c>
    </row>
    <row r="24" customFormat="false" ht="15" hidden="false" customHeight="false" outlineLevel="0" collapsed="false">
      <c r="A24" s="12" t="s">
        <v>87</v>
      </c>
      <c r="B24" s="13" t="n">
        <v>40</v>
      </c>
      <c r="C24" s="14" t="n">
        <v>0.126</v>
      </c>
      <c r="D24" s="13" t="n">
        <v>95</v>
      </c>
      <c r="E24" s="14" t="n">
        <v>0.282</v>
      </c>
      <c r="F24" s="13" t="n">
        <v>190</v>
      </c>
      <c r="G24" s="14" t="n">
        <v>0.577</v>
      </c>
      <c r="H24" s="13" t="n">
        <v>280</v>
      </c>
      <c r="I24" s="14" t="n">
        <v>0.838</v>
      </c>
      <c r="J24" s="13" t="n">
        <v>55</v>
      </c>
      <c r="K24" s="14" t="n">
        <v>0.162</v>
      </c>
      <c r="L24" s="13" t="n">
        <v>335</v>
      </c>
      <c r="M24" s="13" t="n">
        <v>70</v>
      </c>
      <c r="N24" s="14" t="n">
        <v>0.166</v>
      </c>
      <c r="O24" s="13" t="n">
        <v>160</v>
      </c>
      <c r="P24" s="14" t="n">
        <v>0.364</v>
      </c>
      <c r="Q24" s="13" t="n">
        <v>275</v>
      </c>
      <c r="R24" s="14" t="n">
        <v>0.636</v>
      </c>
      <c r="S24" s="13" t="n">
        <v>360</v>
      </c>
      <c r="T24" s="14" t="n">
        <v>0.825</v>
      </c>
      <c r="U24" s="13" t="n">
        <v>75</v>
      </c>
      <c r="V24" s="14" t="n">
        <v>0.175</v>
      </c>
      <c r="W24" s="13" t="n">
        <v>435</v>
      </c>
      <c r="X24" s="13" t="n">
        <v>70</v>
      </c>
      <c r="Y24" s="14" t="n">
        <v>0.15</v>
      </c>
      <c r="Z24" s="13" t="n">
        <v>165</v>
      </c>
      <c r="AA24" s="14" t="n">
        <v>0.35</v>
      </c>
      <c r="AB24" s="13" t="n">
        <v>280</v>
      </c>
      <c r="AC24" s="14" t="n">
        <v>0.605</v>
      </c>
      <c r="AD24" s="13" t="n">
        <v>375</v>
      </c>
      <c r="AE24" s="14" t="n">
        <v>0.8</v>
      </c>
      <c r="AF24" s="13" t="n">
        <v>95</v>
      </c>
      <c r="AG24" s="14" t="n">
        <v>0.2</v>
      </c>
      <c r="AH24" s="13" t="n">
        <v>465</v>
      </c>
      <c r="AI24" s="13" t="n">
        <v>145</v>
      </c>
      <c r="AJ24" s="14" t="n">
        <v>0.314</v>
      </c>
      <c r="AK24" s="13" t="n">
        <v>265</v>
      </c>
      <c r="AL24" s="14" t="n">
        <v>0.569</v>
      </c>
      <c r="AM24" s="13" t="n">
        <v>390</v>
      </c>
      <c r="AN24" s="14" t="n">
        <v>0.844</v>
      </c>
      <c r="AO24" s="13" t="n">
        <v>435</v>
      </c>
      <c r="AP24" s="14" t="n">
        <v>0.942</v>
      </c>
      <c r="AQ24" s="13" t="n">
        <v>25</v>
      </c>
      <c r="AR24" s="14" t="n">
        <v>0.058</v>
      </c>
      <c r="AS24" s="13" t="n">
        <v>460</v>
      </c>
      <c r="AT24" s="13" t="n">
        <v>95</v>
      </c>
      <c r="AU24" s="14" t="n">
        <v>0.254</v>
      </c>
      <c r="AV24" s="13" t="n">
        <v>230</v>
      </c>
      <c r="AW24" s="14" t="n">
        <v>0.618</v>
      </c>
      <c r="AX24" s="13" t="n">
        <v>345</v>
      </c>
      <c r="AY24" s="14" t="n">
        <v>0.92</v>
      </c>
      <c r="AZ24" s="13" t="n">
        <v>365</v>
      </c>
      <c r="BA24" s="14" t="n">
        <v>0.973</v>
      </c>
      <c r="BB24" s="13" t="n">
        <v>10</v>
      </c>
      <c r="BC24" s="14" t="n">
        <v>0.027</v>
      </c>
      <c r="BD24" s="13" t="n">
        <v>375</v>
      </c>
      <c r="BE24" s="13" t="n">
        <v>50</v>
      </c>
      <c r="BF24" s="14" t="n">
        <v>0.103</v>
      </c>
      <c r="BG24" s="13" t="n">
        <v>180</v>
      </c>
      <c r="BH24" s="14" t="n">
        <v>0.352</v>
      </c>
      <c r="BI24" s="13" t="n">
        <v>320</v>
      </c>
      <c r="BJ24" s="14" t="n">
        <v>0.63</v>
      </c>
      <c r="BK24" s="13" t="n">
        <v>375</v>
      </c>
      <c r="BL24" s="14" t="n">
        <v>0.745</v>
      </c>
      <c r="BM24" s="13" t="n">
        <v>130</v>
      </c>
      <c r="BN24" s="14" t="n">
        <v>0.255</v>
      </c>
      <c r="BO24" s="13" t="n">
        <v>505</v>
      </c>
    </row>
    <row r="25" customFormat="false" ht="15" hidden="false" customHeight="false" outlineLevel="0" collapsed="false">
      <c r="A25" s="12" t="s">
        <v>65</v>
      </c>
      <c r="B25" s="13" t="s">
        <v>33</v>
      </c>
      <c r="C25" s="14" t="s">
        <v>33</v>
      </c>
      <c r="D25" s="13" t="n">
        <v>5</v>
      </c>
      <c r="E25" s="14" t="s">
        <v>33</v>
      </c>
      <c r="F25" s="13" t="n">
        <v>25</v>
      </c>
      <c r="G25" s="14" t="s">
        <v>33</v>
      </c>
      <c r="H25" s="13" t="n">
        <v>35</v>
      </c>
      <c r="I25" s="14" t="s">
        <v>33</v>
      </c>
      <c r="J25" s="13" t="n">
        <v>10</v>
      </c>
      <c r="K25" s="14" t="s">
        <v>33</v>
      </c>
      <c r="L25" s="13" t="n">
        <v>45</v>
      </c>
      <c r="M25" s="13" t="s">
        <v>33</v>
      </c>
      <c r="N25" s="14" t="s">
        <v>33</v>
      </c>
      <c r="O25" s="13" t="n">
        <v>10</v>
      </c>
      <c r="P25" s="14" t="s">
        <v>33</v>
      </c>
      <c r="Q25" s="13" t="n">
        <v>20</v>
      </c>
      <c r="R25" s="14" t="s">
        <v>33</v>
      </c>
      <c r="S25" s="13" t="n">
        <v>25</v>
      </c>
      <c r="T25" s="14" t="s">
        <v>33</v>
      </c>
      <c r="U25" s="13" t="s">
        <v>33</v>
      </c>
      <c r="V25" s="14" t="s">
        <v>33</v>
      </c>
      <c r="W25" s="13" t="n">
        <v>30</v>
      </c>
      <c r="X25" s="13" t="n">
        <v>15</v>
      </c>
      <c r="Y25" s="14" t="s">
        <v>33</v>
      </c>
      <c r="Z25" s="13" t="n">
        <v>35</v>
      </c>
      <c r="AA25" s="14" t="s">
        <v>33</v>
      </c>
      <c r="AB25" s="13" t="n">
        <v>55</v>
      </c>
      <c r="AC25" s="14" t="s">
        <v>33</v>
      </c>
      <c r="AD25" s="13" t="n">
        <v>65</v>
      </c>
      <c r="AE25" s="14" t="s">
        <v>33</v>
      </c>
      <c r="AF25" s="13" t="s">
        <v>33</v>
      </c>
      <c r="AG25" s="14" t="s">
        <v>33</v>
      </c>
      <c r="AH25" s="13" t="n">
        <v>70</v>
      </c>
      <c r="AI25" s="13" t="n">
        <v>15</v>
      </c>
      <c r="AJ25" s="14" t="s">
        <v>33</v>
      </c>
      <c r="AK25" s="13" t="n">
        <v>25</v>
      </c>
      <c r="AL25" s="14" t="s">
        <v>33</v>
      </c>
      <c r="AM25" s="13" t="n">
        <v>40</v>
      </c>
      <c r="AN25" s="14" t="s">
        <v>33</v>
      </c>
      <c r="AO25" s="13" t="n">
        <v>40</v>
      </c>
      <c r="AP25" s="14" t="s">
        <v>33</v>
      </c>
      <c r="AQ25" s="13" t="s">
        <v>33</v>
      </c>
      <c r="AR25" s="14" t="s">
        <v>33</v>
      </c>
      <c r="AS25" s="13" t="n">
        <v>40</v>
      </c>
      <c r="AT25" s="13" t="n">
        <v>15</v>
      </c>
      <c r="AU25" s="14" t="n">
        <v>0.448</v>
      </c>
      <c r="AV25" s="13" t="n">
        <v>25</v>
      </c>
      <c r="AW25" s="14" t="n">
        <v>0.793</v>
      </c>
      <c r="AX25" s="13" t="n">
        <v>30</v>
      </c>
      <c r="AY25" s="14" t="n">
        <v>0.966</v>
      </c>
      <c r="AZ25" s="13" t="n">
        <v>30</v>
      </c>
      <c r="BA25" s="14" t="n">
        <v>1</v>
      </c>
      <c r="BB25" s="13" t="n">
        <v>0</v>
      </c>
      <c r="BC25" s="14" t="n">
        <v>0</v>
      </c>
      <c r="BD25" s="13" t="n">
        <v>30</v>
      </c>
      <c r="BE25" s="13" t="s">
        <v>33</v>
      </c>
      <c r="BF25" s="14" t="s">
        <v>33</v>
      </c>
      <c r="BG25" s="13" t="n">
        <v>5</v>
      </c>
      <c r="BH25" s="14" t="s">
        <v>33</v>
      </c>
      <c r="BI25" s="13" t="n">
        <v>15</v>
      </c>
      <c r="BJ25" s="14" t="s">
        <v>33</v>
      </c>
      <c r="BK25" s="13" t="n">
        <v>20</v>
      </c>
      <c r="BL25" s="14" t="s">
        <v>33</v>
      </c>
      <c r="BM25" s="13" t="s">
        <v>33</v>
      </c>
      <c r="BN25" s="14" t="s">
        <v>33</v>
      </c>
      <c r="BO25" s="13" t="n">
        <v>20</v>
      </c>
    </row>
    <row r="26" customFormat="false" ht="15" hidden="false" customHeight="false" outlineLevel="0" collapsed="false">
      <c r="A26" s="12" t="s">
        <v>66</v>
      </c>
      <c r="B26" s="13" t="n">
        <v>425</v>
      </c>
      <c r="C26" s="14" t="n">
        <v>0.307</v>
      </c>
      <c r="D26" s="13" t="n">
        <v>765</v>
      </c>
      <c r="E26" s="14" t="n">
        <v>0.553</v>
      </c>
      <c r="F26" s="13" t="n">
        <v>1085</v>
      </c>
      <c r="G26" s="14" t="n">
        <v>0.786</v>
      </c>
      <c r="H26" s="13" t="n">
        <v>1245</v>
      </c>
      <c r="I26" s="14" t="n">
        <v>0.904</v>
      </c>
      <c r="J26" s="13" t="n">
        <v>130</v>
      </c>
      <c r="K26" s="14" t="n">
        <v>0.096</v>
      </c>
      <c r="L26" s="13" t="n">
        <v>1380</v>
      </c>
      <c r="M26" s="13" t="n">
        <v>425</v>
      </c>
      <c r="N26" s="14" t="n">
        <v>0.302</v>
      </c>
      <c r="O26" s="13" t="n">
        <v>835</v>
      </c>
      <c r="P26" s="14" t="n">
        <v>0.594</v>
      </c>
      <c r="Q26" s="13" t="n">
        <v>1155</v>
      </c>
      <c r="R26" s="14" t="n">
        <v>0.821</v>
      </c>
      <c r="S26" s="13" t="n">
        <v>1325</v>
      </c>
      <c r="T26" s="14" t="n">
        <v>0.94</v>
      </c>
      <c r="U26" s="13" t="n">
        <v>85</v>
      </c>
      <c r="V26" s="14" t="n">
        <v>0.06</v>
      </c>
      <c r="W26" s="13" t="n">
        <v>1410</v>
      </c>
      <c r="X26" s="13" t="n">
        <v>470</v>
      </c>
      <c r="Y26" s="14" t="n">
        <v>0.321</v>
      </c>
      <c r="Z26" s="13" t="n">
        <v>890</v>
      </c>
      <c r="AA26" s="14" t="n">
        <v>0.606</v>
      </c>
      <c r="AB26" s="13" t="n">
        <v>1205</v>
      </c>
      <c r="AC26" s="14" t="n">
        <v>0.817</v>
      </c>
      <c r="AD26" s="13" t="n">
        <v>1385</v>
      </c>
      <c r="AE26" s="14" t="n">
        <v>0.942</v>
      </c>
      <c r="AF26" s="13" t="n">
        <v>85</v>
      </c>
      <c r="AG26" s="14" t="n">
        <v>0.058</v>
      </c>
      <c r="AH26" s="13" t="n">
        <v>1470</v>
      </c>
      <c r="AI26" s="13" t="n">
        <v>680</v>
      </c>
      <c r="AJ26" s="14" t="n">
        <v>0.469</v>
      </c>
      <c r="AK26" s="13" t="n">
        <v>1085</v>
      </c>
      <c r="AL26" s="14" t="n">
        <v>0.749</v>
      </c>
      <c r="AM26" s="13" t="n">
        <v>1345</v>
      </c>
      <c r="AN26" s="14" t="n">
        <v>0.93</v>
      </c>
      <c r="AO26" s="13" t="n">
        <v>1420</v>
      </c>
      <c r="AP26" s="14" t="n">
        <v>0.979</v>
      </c>
      <c r="AQ26" s="13" t="n">
        <v>30</v>
      </c>
      <c r="AR26" s="14" t="n">
        <v>0.021</v>
      </c>
      <c r="AS26" s="13" t="n">
        <v>1450</v>
      </c>
      <c r="AT26" s="13" t="n">
        <v>495</v>
      </c>
      <c r="AU26" s="14" t="n">
        <v>0.403</v>
      </c>
      <c r="AV26" s="13" t="n">
        <v>915</v>
      </c>
      <c r="AW26" s="14" t="n">
        <v>0.748</v>
      </c>
      <c r="AX26" s="13" t="n">
        <v>1145</v>
      </c>
      <c r="AY26" s="14" t="n">
        <v>0.937</v>
      </c>
      <c r="AZ26" s="13" t="n">
        <v>1200</v>
      </c>
      <c r="BA26" s="14" t="n">
        <v>0.981</v>
      </c>
      <c r="BB26" s="13" t="n">
        <v>25</v>
      </c>
      <c r="BC26" s="14" t="n">
        <v>0.019</v>
      </c>
      <c r="BD26" s="13" t="n">
        <v>1225</v>
      </c>
      <c r="BE26" s="13" t="n">
        <v>360</v>
      </c>
      <c r="BF26" s="14" t="n">
        <v>0.284</v>
      </c>
      <c r="BG26" s="13" t="n">
        <v>710</v>
      </c>
      <c r="BH26" s="14" t="n">
        <v>0.558</v>
      </c>
      <c r="BI26" s="13" t="n">
        <v>1015</v>
      </c>
      <c r="BJ26" s="14" t="n">
        <v>0.796</v>
      </c>
      <c r="BK26" s="13" t="n">
        <v>1125</v>
      </c>
      <c r="BL26" s="14" t="n">
        <v>0.883</v>
      </c>
      <c r="BM26" s="13" t="n">
        <v>150</v>
      </c>
      <c r="BN26" s="14" t="n">
        <v>0.117</v>
      </c>
      <c r="BO26" s="13" t="n">
        <v>1275</v>
      </c>
    </row>
    <row r="27" customFormat="false" ht="15" hidden="false" customHeight="false" outlineLevel="0" collapsed="false">
      <c r="A27" s="12" t="s">
        <v>39</v>
      </c>
      <c r="B27" s="13" t="n">
        <v>35</v>
      </c>
      <c r="C27" s="14" t="s">
        <v>33</v>
      </c>
      <c r="D27" s="13" t="n">
        <v>40</v>
      </c>
      <c r="E27" s="14" t="s">
        <v>33</v>
      </c>
      <c r="F27" s="13" t="n">
        <v>45</v>
      </c>
      <c r="G27" s="14" t="s">
        <v>33</v>
      </c>
      <c r="H27" s="13" t="n">
        <v>45</v>
      </c>
      <c r="I27" s="14" t="s">
        <v>33</v>
      </c>
      <c r="J27" s="13" t="s">
        <v>33</v>
      </c>
      <c r="K27" s="14" t="s">
        <v>33</v>
      </c>
      <c r="L27" s="13" t="n">
        <v>45</v>
      </c>
      <c r="M27" s="13" t="n">
        <v>10</v>
      </c>
      <c r="N27" s="14" t="s">
        <v>33</v>
      </c>
      <c r="O27" s="13" t="n">
        <v>10</v>
      </c>
      <c r="P27" s="14" t="s">
        <v>33</v>
      </c>
      <c r="Q27" s="13" t="n">
        <v>15</v>
      </c>
      <c r="R27" s="14" t="s">
        <v>33</v>
      </c>
      <c r="S27" s="13" t="n">
        <v>20</v>
      </c>
      <c r="T27" s="14" t="s">
        <v>33</v>
      </c>
      <c r="U27" s="13" t="s">
        <v>33</v>
      </c>
      <c r="V27" s="14" t="s">
        <v>33</v>
      </c>
      <c r="W27" s="13" t="n">
        <v>20</v>
      </c>
      <c r="X27" s="13" t="n">
        <v>30</v>
      </c>
      <c r="Y27" s="14" t="s">
        <v>33</v>
      </c>
      <c r="Z27" s="13" t="n">
        <v>30</v>
      </c>
      <c r="AA27" s="14" t="s">
        <v>33</v>
      </c>
      <c r="AB27" s="13" t="n">
        <v>30</v>
      </c>
      <c r="AC27" s="14" t="s">
        <v>33</v>
      </c>
      <c r="AD27" s="13" t="n">
        <v>30</v>
      </c>
      <c r="AE27" s="14" t="s">
        <v>33</v>
      </c>
      <c r="AF27" s="13" t="s">
        <v>33</v>
      </c>
      <c r="AG27" s="14" t="s">
        <v>33</v>
      </c>
      <c r="AH27" s="13" t="n">
        <v>35</v>
      </c>
      <c r="AI27" s="13" t="n">
        <v>30</v>
      </c>
      <c r="AJ27" s="14" t="n">
        <v>0.909</v>
      </c>
      <c r="AK27" s="13" t="n">
        <v>30</v>
      </c>
      <c r="AL27" s="14" t="n">
        <v>0.97</v>
      </c>
      <c r="AM27" s="13" t="n">
        <v>35</v>
      </c>
      <c r="AN27" s="14" t="n">
        <v>1</v>
      </c>
      <c r="AO27" s="13" t="n">
        <v>35</v>
      </c>
      <c r="AP27" s="14" t="n">
        <v>1</v>
      </c>
      <c r="AQ27" s="13" t="n">
        <v>0</v>
      </c>
      <c r="AR27" s="14" t="n">
        <v>0</v>
      </c>
      <c r="AS27" s="13" t="n">
        <v>35</v>
      </c>
      <c r="AT27" s="13" t="n">
        <v>20</v>
      </c>
      <c r="AU27" s="14" t="n">
        <v>0.704</v>
      </c>
      <c r="AV27" s="13" t="n">
        <v>25</v>
      </c>
      <c r="AW27" s="14" t="n">
        <v>0.963</v>
      </c>
      <c r="AX27" s="13" t="n">
        <v>25</v>
      </c>
      <c r="AY27" s="14" t="n">
        <v>1</v>
      </c>
      <c r="AZ27" s="13" t="n">
        <v>25</v>
      </c>
      <c r="BA27" s="14" t="n">
        <v>1</v>
      </c>
      <c r="BB27" s="13" t="n">
        <v>0</v>
      </c>
      <c r="BC27" s="14" t="n">
        <v>0</v>
      </c>
      <c r="BD27" s="13" t="n">
        <v>25</v>
      </c>
      <c r="BE27" s="13" t="n">
        <v>15</v>
      </c>
      <c r="BF27" s="14" t="s">
        <v>33</v>
      </c>
      <c r="BG27" s="13" t="n">
        <v>20</v>
      </c>
      <c r="BH27" s="14" t="s">
        <v>33</v>
      </c>
      <c r="BI27" s="13" t="n">
        <v>25</v>
      </c>
      <c r="BJ27" s="14" t="s">
        <v>33</v>
      </c>
      <c r="BK27" s="13" t="n">
        <v>25</v>
      </c>
      <c r="BL27" s="14" t="s">
        <v>33</v>
      </c>
      <c r="BM27" s="13" t="s">
        <v>33</v>
      </c>
      <c r="BN27" s="14" t="s">
        <v>33</v>
      </c>
      <c r="BO27" s="13" t="n">
        <v>25</v>
      </c>
    </row>
    <row r="28" customFormat="false" ht="15" hidden="false" customHeight="false" outlineLevel="0" collapsed="false">
      <c r="A28" s="12" t="s">
        <v>67</v>
      </c>
      <c r="B28" s="13" t="n">
        <v>20</v>
      </c>
      <c r="C28" s="14" t="s">
        <v>33</v>
      </c>
      <c r="D28" s="13" t="n">
        <v>35</v>
      </c>
      <c r="E28" s="14" t="s">
        <v>33</v>
      </c>
      <c r="F28" s="13" t="n">
        <v>45</v>
      </c>
      <c r="G28" s="14" t="s">
        <v>33</v>
      </c>
      <c r="H28" s="13" t="n">
        <v>45</v>
      </c>
      <c r="I28" s="14" t="s">
        <v>33</v>
      </c>
      <c r="J28" s="13" t="s">
        <v>33</v>
      </c>
      <c r="K28" s="14" t="s">
        <v>33</v>
      </c>
      <c r="L28" s="13" t="n">
        <v>45</v>
      </c>
      <c r="M28" s="13" t="n">
        <v>20</v>
      </c>
      <c r="N28" s="14" t="n">
        <v>0.553</v>
      </c>
      <c r="O28" s="13" t="n">
        <v>30</v>
      </c>
      <c r="P28" s="14" t="n">
        <v>0.789</v>
      </c>
      <c r="Q28" s="13" t="n">
        <v>35</v>
      </c>
      <c r="R28" s="14" t="n">
        <v>0.895</v>
      </c>
      <c r="S28" s="13" t="n">
        <v>40</v>
      </c>
      <c r="T28" s="14" t="n">
        <v>1</v>
      </c>
      <c r="U28" s="13" t="n">
        <v>0</v>
      </c>
      <c r="V28" s="14" t="n">
        <v>0</v>
      </c>
      <c r="W28" s="13" t="n">
        <v>40</v>
      </c>
      <c r="X28" s="13" t="n">
        <v>15</v>
      </c>
      <c r="Y28" s="14" t="s">
        <v>33</v>
      </c>
      <c r="Z28" s="13" t="n">
        <v>25</v>
      </c>
      <c r="AA28" s="14" t="s">
        <v>33</v>
      </c>
      <c r="AB28" s="13" t="n">
        <v>30</v>
      </c>
      <c r="AC28" s="14" t="s">
        <v>33</v>
      </c>
      <c r="AD28" s="13" t="n">
        <v>35</v>
      </c>
      <c r="AE28" s="14" t="s">
        <v>33</v>
      </c>
      <c r="AF28" s="13" t="s">
        <v>33</v>
      </c>
      <c r="AG28" s="14" t="s">
        <v>33</v>
      </c>
      <c r="AH28" s="13" t="n">
        <v>35</v>
      </c>
      <c r="AI28" s="13" t="n">
        <v>25</v>
      </c>
      <c r="AJ28" s="14" t="n">
        <v>0.73</v>
      </c>
      <c r="AK28" s="13" t="n">
        <v>35</v>
      </c>
      <c r="AL28" s="14" t="n">
        <v>0.919</v>
      </c>
      <c r="AM28" s="13" t="n">
        <v>35</v>
      </c>
      <c r="AN28" s="14" t="n">
        <v>0.973</v>
      </c>
      <c r="AO28" s="13" t="n">
        <v>35</v>
      </c>
      <c r="AP28" s="14" t="n">
        <v>1</v>
      </c>
      <c r="AQ28" s="13" t="n">
        <v>0</v>
      </c>
      <c r="AR28" s="14" t="n">
        <v>0</v>
      </c>
      <c r="AS28" s="13" t="n">
        <v>35</v>
      </c>
      <c r="AT28" s="13" t="n">
        <v>25</v>
      </c>
      <c r="AU28" s="14" t="n">
        <v>0.727</v>
      </c>
      <c r="AV28" s="13" t="n">
        <v>30</v>
      </c>
      <c r="AW28" s="14" t="n">
        <v>0.97</v>
      </c>
      <c r="AX28" s="13" t="n">
        <v>35</v>
      </c>
      <c r="AY28" s="14" t="n">
        <v>1</v>
      </c>
      <c r="AZ28" s="13" t="n">
        <v>35</v>
      </c>
      <c r="BA28" s="14" t="n">
        <v>1</v>
      </c>
      <c r="BB28" s="13" t="n">
        <v>0</v>
      </c>
      <c r="BC28" s="14" t="n">
        <v>0</v>
      </c>
      <c r="BD28" s="13" t="n">
        <v>35</v>
      </c>
      <c r="BE28" s="13" t="n">
        <v>20</v>
      </c>
      <c r="BF28" s="14" t="n">
        <v>0.339</v>
      </c>
      <c r="BG28" s="13" t="n">
        <v>30</v>
      </c>
      <c r="BH28" s="14" t="n">
        <v>0.508</v>
      </c>
      <c r="BI28" s="13" t="n">
        <v>45</v>
      </c>
      <c r="BJ28" s="14" t="n">
        <v>0.746</v>
      </c>
      <c r="BK28" s="13" t="n">
        <v>45</v>
      </c>
      <c r="BL28" s="14" t="n">
        <v>0.797</v>
      </c>
      <c r="BM28" s="13" t="n">
        <v>10</v>
      </c>
      <c r="BN28" s="14" t="n">
        <v>0.203</v>
      </c>
      <c r="BO28" s="13" t="n">
        <v>60</v>
      </c>
    </row>
    <row r="29" customFormat="false" ht="15" hidden="false" customHeight="false" outlineLevel="0" collapsed="false">
      <c r="A29" s="12" t="s">
        <v>68</v>
      </c>
      <c r="B29" s="13" t="n">
        <v>55</v>
      </c>
      <c r="C29" s="14" t="s">
        <v>33</v>
      </c>
      <c r="D29" s="13" t="n">
        <v>70</v>
      </c>
      <c r="E29" s="14" t="s">
        <v>33</v>
      </c>
      <c r="F29" s="13" t="n">
        <v>80</v>
      </c>
      <c r="G29" s="14" t="s">
        <v>33</v>
      </c>
      <c r="H29" s="13" t="n">
        <v>85</v>
      </c>
      <c r="I29" s="14" t="s">
        <v>33</v>
      </c>
      <c r="J29" s="13" t="s">
        <v>33</v>
      </c>
      <c r="K29" s="14" t="s">
        <v>33</v>
      </c>
      <c r="L29" s="13" t="n">
        <v>85</v>
      </c>
      <c r="M29" s="13" t="n">
        <v>55</v>
      </c>
      <c r="N29" s="14" t="n">
        <v>0.74</v>
      </c>
      <c r="O29" s="13" t="n">
        <v>70</v>
      </c>
      <c r="P29" s="14" t="n">
        <v>0.909</v>
      </c>
      <c r="Q29" s="13" t="n">
        <v>75</v>
      </c>
      <c r="R29" s="14" t="n">
        <v>0.987</v>
      </c>
      <c r="S29" s="13" t="n">
        <v>75</v>
      </c>
      <c r="T29" s="14" t="n">
        <v>1</v>
      </c>
      <c r="U29" s="13" t="n">
        <v>0</v>
      </c>
      <c r="V29" s="14" t="n">
        <v>0</v>
      </c>
      <c r="W29" s="13" t="n">
        <v>75</v>
      </c>
      <c r="X29" s="13" t="n">
        <v>50</v>
      </c>
      <c r="Y29" s="14" t="s">
        <v>33</v>
      </c>
      <c r="Z29" s="13" t="n">
        <v>55</v>
      </c>
      <c r="AA29" s="14" t="s">
        <v>33</v>
      </c>
      <c r="AB29" s="13" t="n">
        <v>65</v>
      </c>
      <c r="AC29" s="14" t="s">
        <v>33</v>
      </c>
      <c r="AD29" s="13" t="n">
        <v>65</v>
      </c>
      <c r="AE29" s="14" t="s">
        <v>33</v>
      </c>
      <c r="AF29" s="13" t="s">
        <v>33</v>
      </c>
      <c r="AG29" s="14" t="s">
        <v>33</v>
      </c>
      <c r="AH29" s="13" t="n">
        <v>65</v>
      </c>
      <c r="AI29" s="13" t="n">
        <v>40</v>
      </c>
      <c r="AJ29" s="14" t="n">
        <v>0.833</v>
      </c>
      <c r="AK29" s="13" t="n">
        <v>45</v>
      </c>
      <c r="AL29" s="14" t="n">
        <v>0.958</v>
      </c>
      <c r="AM29" s="13" t="n">
        <v>50</v>
      </c>
      <c r="AN29" s="14" t="n">
        <v>1</v>
      </c>
      <c r="AO29" s="13" t="n">
        <v>50</v>
      </c>
      <c r="AP29" s="14" t="n">
        <v>1</v>
      </c>
      <c r="AQ29" s="13" t="n">
        <v>0</v>
      </c>
      <c r="AR29" s="14" t="n">
        <v>0</v>
      </c>
      <c r="AS29" s="13" t="n">
        <v>50</v>
      </c>
      <c r="AT29" s="13" t="n">
        <v>45</v>
      </c>
      <c r="AU29" s="14" t="n">
        <v>0.902</v>
      </c>
      <c r="AV29" s="13" t="n">
        <v>50</v>
      </c>
      <c r="AW29" s="14" t="n">
        <v>1</v>
      </c>
      <c r="AX29" s="13" t="n">
        <v>50</v>
      </c>
      <c r="AY29" s="14" t="n">
        <v>1</v>
      </c>
      <c r="AZ29" s="13" t="n">
        <v>50</v>
      </c>
      <c r="BA29" s="14" t="n">
        <v>1</v>
      </c>
      <c r="BB29" s="13" t="n">
        <v>0</v>
      </c>
      <c r="BC29" s="14" t="n">
        <v>0</v>
      </c>
      <c r="BD29" s="13" t="n">
        <v>50</v>
      </c>
      <c r="BE29" s="13" t="n">
        <v>40</v>
      </c>
      <c r="BF29" s="14" t="n">
        <v>0.808</v>
      </c>
      <c r="BG29" s="13" t="n">
        <v>50</v>
      </c>
      <c r="BH29" s="14" t="n">
        <v>0.923</v>
      </c>
      <c r="BI29" s="13" t="n">
        <v>50</v>
      </c>
      <c r="BJ29" s="14" t="n">
        <v>1</v>
      </c>
      <c r="BK29" s="13" t="n">
        <v>50</v>
      </c>
      <c r="BL29" s="14" t="n">
        <v>1</v>
      </c>
      <c r="BM29" s="13" t="n">
        <v>0</v>
      </c>
      <c r="BN29" s="14" t="n">
        <v>0</v>
      </c>
      <c r="BO29" s="13" t="n">
        <v>50</v>
      </c>
    </row>
    <row r="30" customFormat="false" ht="15" hidden="false" customHeight="false" outlineLevel="0" collapsed="false">
      <c r="A30" s="12" t="s">
        <v>160</v>
      </c>
      <c r="B30" s="13" t="n">
        <v>15</v>
      </c>
      <c r="C30" s="14" t="n">
        <v>0.824</v>
      </c>
      <c r="D30" s="13" t="n">
        <v>15</v>
      </c>
      <c r="E30" s="14" t="n">
        <v>1</v>
      </c>
      <c r="F30" s="13" t="n">
        <v>15</v>
      </c>
      <c r="G30" s="14" t="n">
        <v>1</v>
      </c>
      <c r="H30" s="13" t="n">
        <v>15</v>
      </c>
      <c r="I30" s="14" t="n">
        <v>1</v>
      </c>
      <c r="J30" s="13" t="n">
        <v>0</v>
      </c>
      <c r="K30" s="14" t="n">
        <v>0</v>
      </c>
      <c r="L30" s="13" t="n">
        <v>15</v>
      </c>
      <c r="M30" s="13" t="n">
        <v>10</v>
      </c>
      <c r="N30" s="14" t="n">
        <v>1</v>
      </c>
      <c r="O30" s="13" t="n">
        <v>10</v>
      </c>
      <c r="P30" s="14" t="n">
        <v>1</v>
      </c>
      <c r="Q30" s="13" t="n">
        <v>10</v>
      </c>
      <c r="R30" s="14" t="n">
        <v>1</v>
      </c>
      <c r="S30" s="13" t="n">
        <v>10</v>
      </c>
      <c r="T30" s="14" t="n">
        <v>1</v>
      </c>
      <c r="U30" s="13" t="n">
        <v>0</v>
      </c>
      <c r="V30" s="14" t="n">
        <v>0</v>
      </c>
      <c r="W30" s="13" t="n">
        <v>10</v>
      </c>
      <c r="X30" s="13" t="n">
        <v>5</v>
      </c>
      <c r="Y30" s="14" t="n">
        <v>1</v>
      </c>
      <c r="Z30" s="13" t="n">
        <v>5</v>
      </c>
      <c r="AA30" s="14" t="n">
        <v>1</v>
      </c>
      <c r="AB30" s="13" t="n">
        <v>5</v>
      </c>
      <c r="AC30" s="14" t="n">
        <v>1</v>
      </c>
      <c r="AD30" s="13" t="n">
        <v>5</v>
      </c>
      <c r="AE30" s="14" t="n">
        <v>1</v>
      </c>
      <c r="AF30" s="13" t="n">
        <v>0</v>
      </c>
      <c r="AG30" s="14" t="n">
        <v>0</v>
      </c>
      <c r="AH30" s="13" t="n">
        <v>5</v>
      </c>
      <c r="AI30" s="13" t="n">
        <v>10</v>
      </c>
      <c r="AJ30" s="14" t="n">
        <v>1</v>
      </c>
      <c r="AK30" s="13" t="n">
        <v>10</v>
      </c>
      <c r="AL30" s="14" t="n">
        <v>1</v>
      </c>
      <c r="AM30" s="13" t="n">
        <v>10</v>
      </c>
      <c r="AN30" s="14" t="n">
        <v>1</v>
      </c>
      <c r="AO30" s="13" t="n">
        <v>10</v>
      </c>
      <c r="AP30" s="14" t="n">
        <v>1</v>
      </c>
      <c r="AQ30" s="13" t="n">
        <v>0</v>
      </c>
      <c r="AR30" s="14" t="n">
        <v>0</v>
      </c>
      <c r="AS30" s="13" t="n">
        <v>10</v>
      </c>
      <c r="AT30" s="13" t="n">
        <v>5</v>
      </c>
      <c r="AU30" s="14" t="n">
        <v>0.857</v>
      </c>
      <c r="AV30" s="13" t="n">
        <v>5</v>
      </c>
      <c r="AW30" s="14" t="n">
        <v>1</v>
      </c>
      <c r="AX30" s="13" t="n">
        <v>5</v>
      </c>
      <c r="AY30" s="14" t="n">
        <v>1</v>
      </c>
      <c r="AZ30" s="13" t="n">
        <v>5</v>
      </c>
      <c r="BA30" s="14" t="n">
        <v>1</v>
      </c>
      <c r="BB30" s="13" t="n">
        <v>0</v>
      </c>
      <c r="BC30" s="14" t="n">
        <v>0</v>
      </c>
      <c r="BD30" s="13" t="n">
        <v>5</v>
      </c>
      <c r="BE30" s="13" t="n">
        <v>5</v>
      </c>
      <c r="BF30" s="14" t="n">
        <v>1</v>
      </c>
      <c r="BG30" s="13" t="n">
        <v>5</v>
      </c>
      <c r="BH30" s="14" t="n">
        <v>1</v>
      </c>
      <c r="BI30" s="13" t="n">
        <v>5</v>
      </c>
      <c r="BJ30" s="14" t="n">
        <v>1</v>
      </c>
      <c r="BK30" s="13" t="n">
        <v>5</v>
      </c>
      <c r="BL30" s="14" t="n">
        <v>1</v>
      </c>
      <c r="BM30" s="13" t="n">
        <v>0</v>
      </c>
      <c r="BN30" s="14" t="n">
        <v>0</v>
      </c>
      <c r="BO30" s="13" t="n">
        <v>5</v>
      </c>
    </row>
    <row r="31" customFormat="false" ht="15" hidden="false" customHeight="false" outlineLevel="0" collapsed="false">
      <c r="A31" s="12" t="s">
        <v>88</v>
      </c>
      <c r="B31" s="13" t="s">
        <v>33</v>
      </c>
      <c r="C31" s="14" t="s">
        <v>33</v>
      </c>
      <c r="D31" s="13" t="n">
        <v>5</v>
      </c>
      <c r="E31" s="14" t="s">
        <v>33</v>
      </c>
      <c r="F31" s="13" t="n">
        <v>10</v>
      </c>
      <c r="G31" s="14" t="s">
        <v>33</v>
      </c>
      <c r="H31" s="13" t="n">
        <v>10</v>
      </c>
      <c r="I31" s="14" t="s">
        <v>33</v>
      </c>
      <c r="J31" s="13" t="s">
        <v>33</v>
      </c>
      <c r="K31" s="14" t="s">
        <v>33</v>
      </c>
      <c r="L31" s="13" t="n">
        <v>10</v>
      </c>
      <c r="M31" s="13" t="s">
        <v>35</v>
      </c>
      <c r="N31" s="14" t="s">
        <v>35</v>
      </c>
      <c r="O31" s="13" t="s">
        <v>35</v>
      </c>
      <c r="P31" s="14" t="s">
        <v>35</v>
      </c>
      <c r="Q31" s="13" t="s">
        <v>35</v>
      </c>
      <c r="R31" s="14" t="s">
        <v>35</v>
      </c>
      <c r="S31" s="13" t="s">
        <v>35</v>
      </c>
      <c r="T31" s="14" t="s">
        <v>35</v>
      </c>
      <c r="U31" s="13" t="s">
        <v>35</v>
      </c>
      <c r="V31" s="14" t="s">
        <v>35</v>
      </c>
      <c r="W31" s="13" t="n">
        <v>0</v>
      </c>
      <c r="X31" s="13" t="s">
        <v>35</v>
      </c>
      <c r="Y31" s="14" t="s">
        <v>35</v>
      </c>
      <c r="Z31" s="13" t="s">
        <v>35</v>
      </c>
      <c r="AA31" s="14" t="s">
        <v>35</v>
      </c>
      <c r="AB31" s="13" t="s">
        <v>35</v>
      </c>
      <c r="AC31" s="14" t="s">
        <v>35</v>
      </c>
      <c r="AD31" s="13" t="s">
        <v>35</v>
      </c>
      <c r="AE31" s="14" t="s">
        <v>35</v>
      </c>
      <c r="AF31" s="13" t="s">
        <v>35</v>
      </c>
      <c r="AG31" s="14" t="s">
        <v>35</v>
      </c>
      <c r="AH31" s="13" t="n">
        <v>0</v>
      </c>
      <c r="AI31" s="13" t="s">
        <v>35</v>
      </c>
      <c r="AJ31" s="14" t="s">
        <v>35</v>
      </c>
      <c r="AK31" s="13" t="s">
        <v>35</v>
      </c>
      <c r="AL31" s="14" t="s">
        <v>35</v>
      </c>
      <c r="AM31" s="13" t="s">
        <v>35</v>
      </c>
      <c r="AN31" s="14" t="s">
        <v>35</v>
      </c>
      <c r="AO31" s="13" t="s">
        <v>35</v>
      </c>
      <c r="AP31" s="14" t="s">
        <v>35</v>
      </c>
      <c r="AQ31" s="13" t="s">
        <v>35</v>
      </c>
      <c r="AR31" s="14" t="s">
        <v>35</v>
      </c>
      <c r="AS31" s="13" t="n">
        <v>0</v>
      </c>
      <c r="AT31" s="13" t="s">
        <v>33</v>
      </c>
      <c r="AU31" s="14" t="s">
        <v>33</v>
      </c>
      <c r="AV31" s="13" t="s">
        <v>33</v>
      </c>
      <c r="AW31" s="14" t="s">
        <v>33</v>
      </c>
      <c r="AX31" s="13" t="n">
        <v>10</v>
      </c>
      <c r="AY31" s="14" t="s">
        <v>33</v>
      </c>
      <c r="AZ31" s="13" t="n">
        <v>10</v>
      </c>
      <c r="BA31" s="14" t="s">
        <v>33</v>
      </c>
      <c r="BB31" s="13" t="s">
        <v>33</v>
      </c>
      <c r="BC31" s="14" t="s">
        <v>33</v>
      </c>
      <c r="BD31" s="13" t="n">
        <v>10</v>
      </c>
      <c r="BE31" s="13" t="s">
        <v>33</v>
      </c>
      <c r="BF31" s="14" t="s">
        <v>33</v>
      </c>
      <c r="BG31" s="13" t="n">
        <v>5</v>
      </c>
      <c r="BH31" s="14" t="s">
        <v>33</v>
      </c>
      <c r="BI31" s="13" t="n">
        <v>5</v>
      </c>
      <c r="BJ31" s="14" t="s">
        <v>33</v>
      </c>
      <c r="BK31" s="13" t="n">
        <v>10</v>
      </c>
      <c r="BL31" s="14" t="s">
        <v>33</v>
      </c>
      <c r="BM31" s="13" t="s">
        <v>33</v>
      </c>
      <c r="BN31" s="14" t="s">
        <v>33</v>
      </c>
      <c r="BO31" s="13" t="n">
        <v>10</v>
      </c>
    </row>
    <row r="32" customFormat="false" ht="15" hidden="false" customHeight="false" outlineLevel="0" collapsed="false">
      <c r="A32" s="12" t="s">
        <v>89</v>
      </c>
      <c r="B32" s="13" t="n">
        <v>1710</v>
      </c>
      <c r="C32" s="14" t="n">
        <v>0.391</v>
      </c>
      <c r="D32" s="13" t="n">
        <v>2470</v>
      </c>
      <c r="E32" s="14" t="n">
        <v>0.565</v>
      </c>
      <c r="F32" s="13" t="n">
        <v>3075</v>
      </c>
      <c r="G32" s="14" t="n">
        <v>0.702</v>
      </c>
      <c r="H32" s="13" t="n">
        <v>3635</v>
      </c>
      <c r="I32" s="14" t="n">
        <v>0.831</v>
      </c>
      <c r="J32" s="13" t="n">
        <v>740</v>
      </c>
      <c r="K32" s="14" t="n">
        <v>0.169</v>
      </c>
      <c r="L32" s="13" t="n">
        <v>4380</v>
      </c>
      <c r="M32" s="13" t="n">
        <v>1575</v>
      </c>
      <c r="N32" s="14" t="n">
        <v>0.381</v>
      </c>
      <c r="O32" s="13" t="n">
        <v>2500</v>
      </c>
      <c r="P32" s="14" t="n">
        <v>0.606</v>
      </c>
      <c r="Q32" s="13" t="n">
        <v>3135</v>
      </c>
      <c r="R32" s="14" t="n">
        <v>0.76</v>
      </c>
      <c r="S32" s="13" t="n">
        <v>3645</v>
      </c>
      <c r="T32" s="14" t="n">
        <v>0.884</v>
      </c>
      <c r="U32" s="13" t="n">
        <v>475</v>
      </c>
      <c r="V32" s="14" t="n">
        <v>0.116</v>
      </c>
      <c r="W32" s="13" t="n">
        <v>4125</v>
      </c>
      <c r="X32" s="13" t="n">
        <v>1515</v>
      </c>
      <c r="Y32" s="14" t="n">
        <v>0.387</v>
      </c>
      <c r="Z32" s="13" t="n">
        <v>2365</v>
      </c>
      <c r="AA32" s="14" t="n">
        <v>0.604</v>
      </c>
      <c r="AB32" s="13" t="n">
        <v>3030</v>
      </c>
      <c r="AC32" s="14" t="n">
        <v>0.773</v>
      </c>
      <c r="AD32" s="13" t="n">
        <v>3475</v>
      </c>
      <c r="AE32" s="14" t="n">
        <v>0.888</v>
      </c>
      <c r="AF32" s="13" t="n">
        <v>440</v>
      </c>
      <c r="AG32" s="14" t="n">
        <v>0.112</v>
      </c>
      <c r="AH32" s="13" t="n">
        <v>3915</v>
      </c>
      <c r="AI32" s="13" t="n">
        <v>2190</v>
      </c>
      <c r="AJ32" s="14" t="n">
        <v>0.578</v>
      </c>
      <c r="AK32" s="13" t="n">
        <v>2820</v>
      </c>
      <c r="AL32" s="14" t="n">
        <v>0.746</v>
      </c>
      <c r="AM32" s="13" t="n">
        <v>3290</v>
      </c>
      <c r="AN32" s="14" t="n">
        <v>0.87</v>
      </c>
      <c r="AO32" s="13" t="n">
        <v>3505</v>
      </c>
      <c r="AP32" s="14" t="n">
        <v>0.926</v>
      </c>
      <c r="AQ32" s="13" t="n">
        <v>280</v>
      </c>
      <c r="AR32" s="14" t="n">
        <v>0.074</v>
      </c>
      <c r="AS32" s="13" t="n">
        <v>3785</v>
      </c>
      <c r="AT32" s="13" t="n">
        <v>1735</v>
      </c>
      <c r="AU32" s="14" t="n">
        <v>0.479</v>
      </c>
      <c r="AV32" s="13" t="n">
        <v>2540</v>
      </c>
      <c r="AW32" s="14" t="n">
        <v>0.7</v>
      </c>
      <c r="AX32" s="13" t="n">
        <v>3235</v>
      </c>
      <c r="AY32" s="14" t="n">
        <v>0.892</v>
      </c>
      <c r="AZ32" s="13" t="n">
        <v>3450</v>
      </c>
      <c r="BA32" s="14" t="n">
        <v>0.952</v>
      </c>
      <c r="BB32" s="13" t="n">
        <v>175</v>
      </c>
      <c r="BC32" s="14" t="n">
        <v>0.048</v>
      </c>
      <c r="BD32" s="13" t="n">
        <v>3625</v>
      </c>
      <c r="BE32" s="13" t="n">
        <v>1375</v>
      </c>
      <c r="BF32" s="14" t="n">
        <v>0.372</v>
      </c>
      <c r="BG32" s="13" t="n">
        <v>2145</v>
      </c>
      <c r="BH32" s="14" t="n">
        <v>0.581</v>
      </c>
      <c r="BI32" s="13" t="n">
        <v>2790</v>
      </c>
      <c r="BJ32" s="14" t="n">
        <v>0.755</v>
      </c>
      <c r="BK32" s="13" t="n">
        <v>3060</v>
      </c>
      <c r="BL32" s="14" t="n">
        <v>0.827</v>
      </c>
      <c r="BM32" s="13" t="n">
        <v>640</v>
      </c>
      <c r="BN32" s="14" t="n">
        <v>0.173</v>
      </c>
      <c r="BO32" s="13" t="n">
        <v>3695</v>
      </c>
    </row>
    <row r="33" customFormat="false" ht="15" hidden="false" customHeight="false" outlineLevel="0" collapsed="false">
      <c r="A33" s="12" t="s">
        <v>174</v>
      </c>
      <c r="B33" s="13" t="n">
        <v>170</v>
      </c>
      <c r="C33" s="14" t="n">
        <v>0.4</v>
      </c>
      <c r="D33" s="13" t="n">
        <v>230</v>
      </c>
      <c r="E33" s="14" t="n">
        <v>0.541</v>
      </c>
      <c r="F33" s="13" t="n">
        <v>275</v>
      </c>
      <c r="G33" s="14" t="n">
        <v>0.646</v>
      </c>
      <c r="H33" s="13" t="n">
        <v>320</v>
      </c>
      <c r="I33" s="14" t="n">
        <v>0.754</v>
      </c>
      <c r="J33" s="13" t="n">
        <v>105</v>
      </c>
      <c r="K33" s="14" t="n">
        <v>0.246</v>
      </c>
      <c r="L33" s="13" t="n">
        <v>425</v>
      </c>
      <c r="M33" s="13" t="n">
        <v>180</v>
      </c>
      <c r="N33" s="14" t="n">
        <v>0.508</v>
      </c>
      <c r="O33" s="13" t="n">
        <v>235</v>
      </c>
      <c r="P33" s="14" t="n">
        <v>0.66</v>
      </c>
      <c r="Q33" s="13" t="n">
        <v>275</v>
      </c>
      <c r="R33" s="14" t="n">
        <v>0.77</v>
      </c>
      <c r="S33" s="13" t="n">
        <v>305</v>
      </c>
      <c r="T33" s="14" t="n">
        <v>0.86</v>
      </c>
      <c r="U33" s="13" t="n">
        <v>50</v>
      </c>
      <c r="V33" s="14" t="n">
        <v>0.14</v>
      </c>
      <c r="W33" s="13" t="n">
        <v>355</v>
      </c>
      <c r="X33" s="13" t="n">
        <v>140</v>
      </c>
      <c r="Y33" s="14" t="n">
        <v>0.507</v>
      </c>
      <c r="Z33" s="13" t="n">
        <v>180</v>
      </c>
      <c r="AA33" s="14" t="n">
        <v>0.659</v>
      </c>
      <c r="AB33" s="13" t="n">
        <v>220</v>
      </c>
      <c r="AC33" s="14" t="n">
        <v>0.797</v>
      </c>
      <c r="AD33" s="13" t="n">
        <v>245</v>
      </c>
      <c r="AE33" s="14" t="n">
        <v>0.88</v>
      </c>
      <c r="AF33" s="13" t="n">
        <v>35</v>
      </c>
      <c r="AG33" s="14" t="n">
        <v>0.12</v>
      </c>
      <c r="AH33" s="13" t="n">
        <v>275</v>
      </c>
      <c r="AI33" s="13" t="n">
        <v>180</v>
      </c>
      <c r="AJ33" s="14" t="n">
        <v>0.561</v>
      </c>
      <c r="AK33" s="13" t="n">
        <v>225</v>
      </c>
      <c r="AL33" s="14" t="n">
        <v>0.712</v>
      </c>
      <c r="AM33" s="13" t="n">
        <v>270</v>
      </c>
      <c r="AN33" s="14" t="n">
        <v>0.846</v>
      </c>
      <c r="AO33" s="13" t="n">
        <v>290</v>
      </c>
      <c r="AP33" s="14" t="n">
        <v>0.906</v>
      </c>
      <c r="AQ33" s="13" t="n">
        <v>30</v>
      </c>
      <c r="AR33" s="14" t="n">
        <v>0.094</v>
      </c>
      <c r="AS33" s="13" t="n">
        <v>320</v>
      </c>
      <c r="AT33" s="13" t="n">
        <v>210</v>
      </c>
      <c r="AU33" s="14" t="n">
        <v>0.654</v>
      </c>
      <c r="AV33" s="13" t="n">
        <v>255</v>
      </c>
      <c r="AW33" s="14" t="n">
        <v>0.796</v>
      </c>
      <c r="AX33" s="13" t="n">
        <v>295</v>
      </c>
      <c r="AY33" s="14" t="n">
        <v>0.925</v>
      </c>
      <c r="AZ33" s="13" t="n">
        <v>305</v>
      </c>
      <c r="BA33" s="14" t="n">
        <v>0.965</v>
      </c>
      <c r="BB33" s="13" t="n">
        <v>10</v>
      </c>
      <c r="BC33" s="14" t="n">
        <v>0.035</v>
      </c>
      <c r="BD33" s="13" t="n">
        <v>320</v>
      </c>
      <c r="BE33" s="13" t="n">
        <v>120</v>
      </c>
      <c r="BF33" s="14" t="n">
        <v>0.408</v>
      </c>
      <c r="BG33" s="13" t="n">
        <v>165</v>
      </c>
      <c r="BH33" s="14" t="n">
        <v>0.554</v>
      </c>
      <c r="BI33" s="13" t="n">
        <v>225</v>
      </c>
      <c r="BJ33" s="14" t="n">
        <v>0.769</v>
      </c>
      <c r="BK33" s="13" t="n">
        <v>245</v>
      </c>
      <c r="BL33" s="14" t="n">
        <v>0.84</v>
      </c>
      <c r="BM33" s="13" t="n">
        <v>45</v>
      </c>
      <c r="BN33" s="14" t="n">
        <v>0.16</v>
      </c>
      <c r="BO33" s="13" t="n">
        <v>295</v>
      </c>
    </row>
    <row r="34" customFormat="false" ht="15" hidden="false" customHeight="false" outlineLevel="0" collapsed="false">
      <c r="A34" s="12" t="s">
        <v>70</v>
      </c>
      <c r="B34" s="13" t="n">
        <v>375</v>
      </c>
      <c r="C34" s="14" t="n">
        <v>0.334</v>
      </c>
      <c r="D34" s="13" t="n">
        <v>650</v>
      </c>
      <c r="E34" s="14" t="n">
        <v>0.582</v>
      </c>
      <c r="F34" s="13" t="n">
        <v>850</v>
      </c>
      <c r="G34" s="14" t="n">
        <v>0.763</v>
      </c>
      <c r="H34" s="13" t="n">
        <v>990</v>
      </c>
      <c r="I34" s="14" t="n">
        <v>0.889</v>
      </c>
      <c r="J34" s="13" t="n">
        <v>125</v>
      </c>
      <c r="K34" s="14" t="n">
        <v>0.111</v>
      </c>
      <c r="L34" s="13" t="n">
        <v>1115</v>
      </c>
      <c r="M34" s="13" t="n">
        <v>345</v>
      </c>
      <c r="N34" s="14" t="n">
        <v>0.313</v>
      </c>
      <c r="O34" s="13" t="n">
        <v>610</v>
      </c>
      <c r="P34" s="14" t="n">
        <v>0.548</v>
      </c>
      <c r="Q34" s="13" t="n">
        <v>845</v>
      </c>
      <c r="R34" s="14" t="n">
        <v>0.76</v>
      </c>
      <c r="S34" s="13" t="n">
        <v>995</v>
      </c>
      <c r="T34" s="14" t="n">
        <v>0.898</v>
      </c>
      <c r="U34" s="13" t="n">
        <v>115</v>
      </c>
      <c r="V34" s="14" t="n">
        <v>0.102</v>
      </c>
      <c r="W34" s="13" t="n">
        <v>1110</v>
      </c>
      <c r="X34" s="13" t="n">
        <v>365</v>
      </c>
      <c r="Y34" s="14" t="n">
        <v>0.311</v>
      </c>
      <c r="Z34" s="13" t="n">
        <v>675</v>
      </c>
      <c r="AA34" s="14" t="n">
        <v>0.574</v>
      </c>
      <c r="AB34" s="13" t="n">
        <v>915</v>
      </c>
      <c r="AC34" s="14" t="n">
        <v>0.777</v>
      </c>
      <c r="AD34" s="13" t="n">
        <v>1055</v>
      </c>
      <c r="AE34" s="14" t="n">
        <v>0.896</v>
      </c>
      <c r="AF34" s="13" t="n">
        <v>120</v>
      </c>
      <c r="AG34" s="14" t="n">
        <v>0.104</v>
      </c>
      <c r="AH34" s="13" t="n">
        <v>1175</v>
      </c>
      <c r="AI34" s="13" t="n">
        <v>490</v>
      </c>
      <c r="AJ34" s="14" t="n">
        <v>0.453</v>
      </c>
      <c r="AK34" s="13" t="n">
        <v>790</v>
      </c>
      <c r="AL34" s="14" t="n">
        <v>0.731</v>
      </c>
      <c r="AM34" s="13" t="n">
        <v>995</v>
      </c>
      <c r="AN34" s="14" t="n">
        <v>0.921</v>
      </c>
      <c r="AO34" s="13" t="n">
        <v>1050</v>
      </c>
      <c r="AP34" s="14" t="n">
        <v>0.972</v>
      </c>
      <c r="AQ34" s="13" t="n">
        <v>30</v>
      </c>
      <c r="AR34" s="14" t="n">
        <v>0.028</v>
      </c>
      <c r="AS34" s="13" t="n">
        <v>1080</v>
      </c>
      <c r="AT34" s="13" t="n">
        <v>365</v>
      </c>
      <c r="AU34" s="14" t="n">
        <v>0.41</v>
      </c>
      <c r="AV34" s="13" t="n">
        <v>635</v>
      </c>
      <c r="AW34" s="14" t="n">
        <v>0.716</v>
      </c>
      <c r="AX34" s="13" t="n">
        <v>815</v>
      </c>
      <c r="AY34" s="14" t="n">
        <v>0.921</v>
      </c>
      <c r="AZ34" s="13" t="n">
        <v>865</v>
      </c>
      <c r="BA34" s="14" t="n">
        <v>0.977</v>
      </c>
      <c r="BB34" s="13" t="n">
        <v>20</v>
      </c>
      <c r="BC34" s="14" t="n">
        <v>0.023</v>
      </c>
      <c r="BD34" s="13" t="n">
        <v>885</v>
      </c>
      <c r="BE34" s="13" t="n">
        <v>230</v>
      </c>
      <c r="BF34" s="14" t="n">
        <v>0.288</v>
      </c>
      <c r="BG34" s="13" t="n">
        <v>430</v>
      </c>
      <c r="BH34" s="14" t="n">
        <v>0.533</v>
      </c>
      <c r="BI34" s="13" t="n">
        <v>610</v>
      </c>
      <c r="BJ34" s="14" t="n">
        <v>0.761</v>
      </c>
      <c r="BK34" s="13" t="n">
        <v>665</v>
      </c>
      <c r="BL34" s="14" t="n">
        <v>0.828</v>
      </c>
      <c r="BM34" s="13" t="n">
        <v>140</v>
      </c>
      <c r="BN34" s="14" t="n">
        <v>0.172</v>
      </c>
      <c r="BO34" s="13" t="n">
        <v>805</v>
      </c>
    </row>
    <row r="35" customFormat="false" ht="15" hidden="false" customHeight="false" outlineLevel="0" collapsed="false">
      <c r="A35" s="12" t="s">
        <v>71</v>
      </c>
      <c r="B35" s="13" t="n">
        <v>890</v>
      </c>
      <c r="C35" s="14" t="n">
        <v>0.51</v>
      </c>
      <c r="D35" s="13" t="n">
        <v>1355</v>
      </c>
      <c r="E35" s="14" t="n">
        <v>0.776</v>
      </c>
      <c r="F35" s="13" t="n">
        <v>1620</v>
      </c>
      <c r="G35" s="14" t="n">
        <v>0.928</v>
      </c>
      <c r="H35" s="13" t="n">
        <v>1705</v>
      </c>
      <c r="I35" s="14" t="n">
        <v>0.976</v>
      </c>
      <c r="J35" s="13" t="n">
        <v>40</v>
      </c>
      <c r="K35" s="14" t="n">
        <v>0.024</v>
      </c>
      <c r="L35" s="13" t="n">
        <v>1745</v>
      </c>
      <c r="M35" s="13" t="n">
        <v>1145</v>
      </c>
      <c r="N35" s="14" t="n">
        <v>0.645</v>
      </c>
      <c r="O35" s="13" t="n">
        <v>1495</v>
      </c>
      <c r="P35" s="14" t="n">
        <v>0.843</v>
      </c>
      <c r="Q35" s="13" t="n">
        <v>1660</v>
      </c>
      <c r="R35" s="14" t="n">
        <v>0.936</v>
      </c>
      <c r="S35" s="13" t="n">
        <v>1730</v>
      </c>
      <c r="T35" s="14" t="n">
        <v>0.977</v>
      </c>
      <c r="U35" s="13" t="n">
        <v>40</v>
      </c>
      <c r="V35" s="14" t="n">
        <v>0.023</v>
      </c>
      <c r="W35" s="13" t="n">
        <v>1775</v>
      </c>
      <c r="X35" s="13" t="n">
        <v>970</v>
      </c>
      <c r="Y35" s="14" t="n">
        <v>0.553</v>
      </c>
      <c r="Z35" s="13" t="n">
        <v>1415</v>
      </c>
      <c r="AA35" s="14" t="n">
        <v>0.805</v>
      </c>
      <c r="AB35" s="13" t="n">
        <v>1630</v>
      </c>
      <c r="AC35" s="14" t="n">
        <v>0.928</v>
      </c>
      <c r="AD35" s="13" t="n">
        <v>1715</v>
      </c>
      <c r="AE35" s="14" t="n">
        <v>0.976</v>
      </c>
      <c r="AF35" s="13" t="n">
        <v>40</v>
      </c>
      <c r="AG35" s="14" t="n">
        <v>0.024</v>
      </c>
      <c r="AH35" s="13" t="n">
        <v>1755</v>
      </c>
      <c r="AI35" s="13" t="n">
        <v>1300</v>
      </c>
      <c r="AJ35" s="14" t="n">
        <v>0.697</v>
      </c>
      <c r="AK35" s="13" t="n">
        <v>1650</v>
      </c>
      <c r="AL35" s="14" t="n">
        <v>0.886</v>
      </c>
      <c r="AM35" s="13" t="n">
        <v>1820</v>
      </c>
      <c r="AN35" s="14" t="n">
        <v>0.978</v>
      </c>
      <c r="AO35" s="13" t="n">
        <v>1845</v>
      </c>
      <c r="AP35" s="14" t="n">
        <v>0.992</v>
      </c>
      <c r="AQ35" s="13" t="n">
        <v>15</v>
      </c>
      <c r="AR35" s="14" t="n">
        <v>0.008</v>
      </c>
      <c r="AS35" s="13" t="n">
        <v>1860</v>
      </c>
      <c r="AT35" s="13" t="n">
        <v>1100</v>
      </c>
      <c r="AU35" s="14" t="n">
        <v>0.669</v>
      </c>
      <c r="AV35" s="13" t="n">
        <v>1450</v>
      </c>
      <c r="AW35" s="14" t="n">
        <v>0.879</v>
      </c>
      <c r="AX35" s="13" t="n">
        <v>1615</v>
      </c>
      <c r="AY35" s="14" t="n">
        <v>0.981</v>
      </c>
      <c r="AZ35" s="13" t="n">
        <v>1640</v>
      </c>
      <c r="BA35" s="14" t="n">
        <v>0.994</v>
      </c>
      <c r="BB35" s="13" t="n">
        <v>10</v>
      </c>
      <c r="BC35" s="14" t="n">
        <v>0.006</v>
      </c>
      <c r="BD35" s="13" t="n">
        <v>1650</v>
      </c>
      <c r="BE35" s="13" t="n">
        <v>920</v>
      </c>
      <c r="BF35" s="14" t="n">
        <v>0.541</v>
      </c>
      <c r="BG35" s="13" t="n">
        <v>1325</v>
      </c>
      <c r="BH35" s="14" t="n">
        <v>0.782</v>
      </c>
      <c r="BI35" s="13" t="n">
        <v>1565</v>
      </c>
      <c r="BJ35" s="14" t="n">
        <v>0.92</v>
      </c>
      <c r="BK35" s="13" t="n">
        <v>1625</v>
      </c>
      <c r="BL35" s="14" t="n">
        <v>0.957</v>
      </c>
      <c r="BM35" s="13" t="n">
        <v>75</v>
      </c>
      <c r="BN35" s="14" t="n">
        <v>0.043</v>
      </c>
      <c r="BO35" s="13" t="n">
        <v>1700</v>
      </c>
    </row>
    <row r="36" customFormat="false" ht="15" hidden="false" customHeight="false" outlineLevel="0" collapsed="false">
      <c r="A36" s="12" t="s">
        <v>72</v>
      </c>
      <c r="B36" s="13" t="n">
        <v>25</v>
      </c>
      <c r="C36" s="14" t="n">
        <v>0.321</v>
      </c>
      <c r="D36" s="13" t="n">
        <v>55</v>
      </c>
      <c r="E36" s="14" t="n">
        <v>0.667</v>
      </c>
      <c r="F36" s="13" t="n">
        <v>70</v>
      </c>
      <c r="G36" s="14" t="n">
        <v>0.821</v>
      </c>
      <c r="H36" s="13" t="n">
        <v>75</v>
      </c>
      <c r="I36" s="14" t="n">
        <v>0.917</v>
      </c>
      <c r="J36" s="13" t="n">
        <v>5</v>
      </c>
      <c r="K36" s="14" t="n">
        <v>0.083</v>
      </c>
      <c r="L36" s="13" t="n">
        <v>85</v>
      </c>
      <c r="M36" s="13" t="n">
        <v>15</v>
      </c>
      <c r="N36" s="14" t="n">
        <v>0.254</v>
      </c>
      <c r="O36" s="13" t="n">
        <v>30</v>
      </c>
      <c r="P36" s="14" t="n">
        <v>0.492</v>
      </c>
      <c r="Q36" s="13" t="n">
        <v>45</v>
      </c>
      <c r="R36" s="14" t="n">
        <v>0.729</v>
      </c>
      <c r="S36" s="13" t="n">
        <v>50</v>
      </c>
      <c r="T36" s="14" t="n">
        <v>0.881</v>
      </c>
      <c r="U36" s="13" t="n">
        <v>5</v>
      </c>
      <c r="V36" s="14" t="n">
        <v>0.119</v>
      </c>
      <c r="W36" s="13" t="n">
        <v>60</v>
      </c>
      <c r="X36" s="13" t="n">
        <v>10</v>
      </c>
      <c r="Y36" s="14" t="n">
        <v>0.207</v>
      </c>
      <c r="Z36" s="13" t="n">
        <v>25</v>
      </c>
      <c r="AA36" s="14" t="n">
        <v>0.466</v>
      </c>
      <c r="AB36" s="13" t="n">
        <v>45</v>
      </c>
      <c r="AC36" s="14" t="n">
        <v>0.741</v>
      </c>
      <c r="AD36" s="13" t="n">
        <v>55</v>
      </c>
      <c r="AE36" s="14" t="n">
        <v>0.914</v>
      </c>
      <c r="AF36" s="13" t="n">
        <v>5</v>
      </c>
      <c r="AG36" s="14" t="n">
        <v>0.086</v>
      </c>
      <c r="AH36" s="13" t="n">
        <v>60</v>
      </c>
      <c r="AI36" s="13" t="n">
        <v>20</v>
      </c>
      <c r="AJ36" s="14" t="n">
        <v>0.375</v>
      </c>
      <c r="AK36" s="13" t="n">
        <v>35</v>
      </c>
      <c r="AL36" s="14" t="n">
        <v>0.589</v>
      </c>
      <c r="AM36" s="13" t="n">
        <v>45</v>
      </c>
      <c r="AN36" s="14" t="n">
        <v>0.821</v>
      </c>
      <c r="AO36" s="13" t="n">
        <v>50</v>
      </c>
      <c r="AP36" s="14" t="n">
        <v>0.857</v>
      </c>
      <c r="AQ36" s="13" t="n">
        <v>10</v>
      </c>
      <c r="AR36" s="14" t="n">
        <v>0.143</v>
      </c>
      <c r="AS36" s="13" t="n">
        <v>55</v>
      </c>
      <c r="AT36" s="13" t="n">
        <v>20</v>
      </c>
      <c r="AU36" s="14" t="n">
        <v>0.594</v>
      </c>
      <c r="AV36" s="13" t="n">
        <v>30</v>
      </c>
      <c r="AW36" s="14" t="n">
        <v>0.875</v>
      </c>
      <c r="AX36" s="13" t="n">
        <v>30</v>
      </c>
      <c r="AY36" s="14" t="n">
        <v>1</v>
      </c>
      <c r="AZ36" s="13" t="n">
        <v>30</v>
      </c>
      <c r="BA36" s="14" t="n">
        <v>1</v>
      </c>
      <c r="BB36" s="13" t="n">
        <v>0</v>
      </c>
      <c r="BC36" s="14" t="n">
        <v>0</v>
      </c>
      <c r="BD36" s="13" t="n">
        <v>30</v>
      </c>
      <c r="BE36" s="13" t="s">
        <v>35</v>
      </c>
      <c r="BF36" s="14" t="s">
        <v>35</v>
      </c>
      <c r="BG36" s="13" t="s">
        <v>35</v>
      </c>
      <c r="BH36" s="14" t="s">
        <v>35</v>
      </c>
      <c r="BI36" s="13" t="s">
        <v>35</v>
      </c>
      <c r="BJ36" s="14" t="s">
        <v>35</v>
      </c>
      <c r="BK36" s="13" t="s">
        <v>35</v>
      </c>
      <c r="BL36" s="14" t="s">
        <v>35</v>
      </c>
      <c r="BM36" s="13" t="s">
        <v>35</v>
      </c>
      <c r="BN36" s="14" t="s">
        <v>35</v>
      </c>
      <c r="BO36" s="13" t="s">
        <v>35</v>
      </c>
    </row>
    <row r="37" customFormat="false" ht="15" hidden="false" customHeight="false" outlineLevel="0" collapsed="false">
      <c r="A37" s="12" t="s">
        <v>175</v>
      </c>
      <c r="B37" s="13" t="n">
        <v>10</v>
      </c>
      <c r="C37" s="14" t="n">
        <v>0.647</v>
      </c>
      <c r="D37" s="13" t="n">
        <v>15</v>
      </c>
      <c r="E37" s="14" t="n">
        <v>0.765</v>
      </c>
      <c r="F37" s="13" t="n">
        <v>15</v>
      </c>
      <c r="G37" s="14" t="n">
        <v>0.941</v>
      </c>
      <c r="H37" s="13" t="n">
        <v>15</v>
      </c>
      <c r="I37" s="14" t="n">
        <v>1</v>
      </c>
      <c r="J37" s="13" t="n">
        <v>0</v>
      </c>
      <c r="K37" s="14" t="n">
        <v>0</v>
      </c>
      <c r="L37" s="13" t="n">
        <v>15</v>
      </c>
      <c r="M37" s="13" t="n">
        <v>10</v>
      </c>
      <c r="N37" s="14" t="n">
        <v>0.9</v>
      </c>
      <c r="O37" s="13" t="n">
        <v>10</v>
      </c>
      <c r="P37" s="14" t="n">
        <v>0.9</v>
      </c>
      <c r="Q37" s="13" t="n">
        <v>10</v>
      </c>
      <c r="R37" s="14" t="n">
        <v>0.9</v>
      </c>
      <c r="S37" s="13" t="n">
        <v>10</v>
      </c>
      <c r="T37" s="14" t="n">
        <v>1</v>
      </c>
      <c r="U37" s="13" t="n">
        <v>0</v>
      </c>
      <c r="V37" s="14" t="n">
        <v>0</v>
      </c>
      <c r="W37" s="13" t="n">
        <v>10</v>
      </c>
      <c r="X37" s="13" t="n">
        <v>5</v>
      </c>
      <c r="Y37" s="14" t="n">
        <v>0.417</v>
      </c>
      <c r="Z37" s="13" t="n">
        <v>5</v>
      </c>
      <c r="AA37" s="14" t="n">
        <v>0.5</v>
      </c>
      <c r="AB37" s="13" t="n">
        <v>10</v>
      </c>
      <c r="AC37" s="14" t="n">
        <v>0.833</v>
      </c>
      <c r="AD37" s="13" t="n">
        <v>10</v>
      </c>
      <c r="AE37" s="14" t="n">
        <v>1</v>
      </c>
      <c r="AF37" s="13" t="n">
        <v>0</v>
      </c>
      <c r="AG37" s="14" t="n">
        <v>0</v>
      </c>
      <c r="AH37" s="13" t="n">
        <v>10</v>
      </c>
      <c r="AI37" s="13" t="n">
        <v>10</v>
      </c>
      <c r="AJ37" s="14" t="n">
        <v>0.75</v>
      </c>
      <c r="AK37" s="13" t="n">
        <v>15</v>
      </c>
      <c r="AL37" s="14" t="n">
        <v>0.938</v>
      </c>
      <c r="AM37" s="13" t="n">
        <v>15</v>
      </c>
      <c r="AN37" s="14" t="n">
        <v>1</v>
      </c>
      <c r="AO37" s="13" t="n">
        <v>15</v>
      </c>
      <c r="AP37" s="14" t="n">
        <v>1</v>
      </c>
      <c r="AQ37" s="13" t="n">
        <v>0</v>
      </c>
      <c r="AR37" s="14" t="n">
        <v>0</v>
      </c>
      <c r="AS37" s="13" t="n">
        <v>15</v>
      </c>
      <c r="AT37" s="13" t="n">
        <v>20</v>
      </c>
      <c r="AU37" s="14" t="n">
        <v>0.72</v>
      </c>
      <c r="AV37" s="13" t="n">
        <v>25</v>
      </c>
      <c r="AW37" s="14" t="n">
        <v>1</v>
      </c>
      <c r="AX37" s="13" t="n">
        <v>25</v>
      </c>
      <c r="AY37" s="14" t="n">
        <v>1</v>
      </c>
      <c r="AZ37" s="13" t="n">
        <v>25</v>
      </c>
      <c r="BA37" s="14" t="n">
        <v>1</v>
      </c>
      <c r="BB37" s="13" t="n">
        <v>0</v>
      </c>
      <c r="BC37" s="14" t="n">
        <v>0</v>
      </c>
      <c r="BD37" s="13" t="n">
        <v>25</v>
      </c>
      <c r="BE37" s="13" t="s">
        <v>33</v>
      </c>
      <c r="BF37" s="14" t="s">
        <v>33</v>
      </c>
      <c r="BG37" s="13" t="n">
        <v>5</v>
      </c>
      <c r="BH37" s="14" t="s">
        <v>33</v>
      </c>
      <c r="BI37" s="13" t="n">
        <v>5</v>
      </c>
      <c r="BJ37" s="14" t="s">
        <v>33</v>
      </c>
      <c r="BK37" s="13" t="n">
        <v>10</v>
      </c>
      <c r="BL37" s="14" t="s">
        <v>33</v>
      </c>
      <c r="BM37" s="13" t="s">
        <v>33</v>
      </c>
      <c r="BN37" s="14" t="s">
        <v>33</v>
      </c>
      <c r="BO37" s="13" t="n">
        <v>10</v>
      </c>
    </row>
    <row r="38" customFormat="false" ht="15" hidden="false" customHeight="false" outlineLevel="0" collapsed="false">
      <c r="A38" s="12" t="s">
        <v>43</v>
      </c>
      <c r="B38" s="13" t="n">
        <v>155</v>
      </c>
      <c r="C38" s="14" t="n">
        <v>0.159</v>
      </c>
      <c r="D38" s="13" t="n">
        <v>415</v>
      </c>
      <c r="E38" s="14" t="n">
        <v>0.417</v>
      </c>
      <c r="F38" s="13" t="n">
        <v>685</v>
      </c>
      <c r="G38" s="14" t="n">
        <v>0.693</v>
      </c>
      <c r="H38" s="13" t="n">
        <v>920</v>
      </c>
      <c r="I38" s="14" t="n">
        <v>0.927</v>
      </c>
      <c r="J38" s="13" t="n">
        <v>70</v>
      </c>
      <c r="K38" s="14" t="n">
        <v>0.073</v>
      </c>
      <c r="L38" s="13" t="n">
        <v>990</v>
      </c>
      <c r="M38" s="13" t="n">
        <v>200</v>
      </c>
      <c r="N38" s="14" t="n">
        <v>0.214</v>
      </c>
      <c r="O38" s="13" t="n">
        <v>440</v>
      </c>
      <c r="P38" s="14" t="n">
        <v>0.467</v>
      </c>
      <c r="Q38" s="13" t="n">
        <v>700</v>
      </c>
      <c r="R38" s="14" t="n">
        <v>0.742</v>
      </c>
      <c r="S38" s="13" t="n">
        <v>880</v>
      </c>
      <c r="T38" s="14" t="n">
        <v>0.931</v>
      </c>
      <c r="U38" s="13" t="n">
        <v>65</v>
      </c>
      <c r="V38" s="14" t="n">
        <v>0.069</v>
      </c>
      <c r="W38" s="13" t="n">
        <v>945</v>
      </c>
      <c r="X38" s="13" t="n">
        <v>275</v>
      </c>
      <c r="Y38" s="14" t="n">
        <v>0.263</v>
      </c>
      <c r="Z38" s="13" t="n">
        <v>560</v>
      </c>
      <c r="AA38" s="14" t="n">
        <v>0.535</v>
      </c>
      <c r="AB38" s="13" t="n">
        <v>825</v>
      </c>
      <c r="AC38" s="14" t="n">
        <v>0.783</v>
      </c>
      <c r="AD38" s="13" t="n">
        <v>1005</v>
      </c>
      <c r="AE38" s="14" t="n">
        <v>0.954</v>
      </c>
      <c r="AF38" s="13" t="n">
        <v>50</v>
      </c>
      <c r="AG38" s="14" t="n">
        <v>0.046</v>
      </c>
      <c r="AH38" s="13" t="n">
        <v>1050</v>
      </c>
      <c r="AI38" s="13" t="n">
        <v>405</v>
      </c>
      <c r="AJ38" s="14" t="n">
        <v>0.501</v>
      </c>
      <c r="AK38" s="13" t="n">
        <v>625</v>
      </c>
      <c r="AL38" s="14" t="n">
        <v>0.773</v>
      </c>
      <c r="AM38" s="13" t="n">
        <v>760</v>
      </c>
      <c r="AN38" s="14" t="n">
        <v>0.941</v>
      </c>
      <c r="AO38" s="13" t="n">
        <v>795</v>
      </c>
      <c r="AP38" s="14" t="n">
        <v>0.983</v>
      </c>
      <c r="AQ38" s="13" t="n">
        <v>15</v>
      </c>
      <c r="AR38" s="14" t="n">
        <v>0.017</v>
      </c>
      <c r="AS38" s="13" t="n">
        <v>805</v>
      </c>
      <c r="AT38" s="13" t="n">
        <v>245</v>
      </c>
      <c r="AU38" s="14" t="n">
        <v>0.476</v>
      </c>
      <c r="AV38" s="13" t="n">
        <v>395</v>
      </c>
      <c r="AW38" s="14" t="n">
        <v>0.766</v>
      </c>
      <c r="AX38" s="13" t="n">
        <v>490</v>
      </c>
      <c r="AY38" s="14" t="n">
        <v>0.951</v>
      </c>
      <c r="AZ38" s="13" t="n">
        <v>505</v>
      </c>
      <c r="BA38" s="14" t="n">
        <v>0.988</v>
      </c>
      <c r="BB38" s="13" t="n">
        <v>5</v>
      </c>
      <c r="BC38" s="14" t="n">
        <v>0.012</v>
      </c>
      <c r="BD38" s="13" t="n">
        <v>515</v>
      </c>
      <c r="BE38" s="13" t="n">
        <v>115</v>
      </c>
      <c r="BF38" s="14" t="n">
        <v>0.234</v>
      </c>
      <c r="BG38" s="13" t="n">
        <v>245</v>
      </c>
      <c r="BH38" s="14" t="n">
        <v>0.493</v>
      </c>
      <c r="BI38" s="13" t="n">
        <v>380</v>
      </c>
      <c r="BJ38" s="14" t="n">
        <v>0.766</v>
      </c>
      <c r="BK38" s="13" t="n">
        <v>445</v>
      </c>
      <c r="BL38" s="14" t="n">
        <v>0.892</v>
      </c>
      <c r="BM38" s="13" t="n">
        <v>55</v>
      </c>
      <c r="BN38" s="14" t="n">
        <v>0.108</v>
      </c>
      <c r="BO38" s="13" t="n">
        <v>500</v>
      </c>
    </row>
    <row r="39" customFormat="false" ht="15" hidden="false" customHeight="false" outlineLevel="0" collapsed="false">
      <c r="A39" s="12" t="s">
        <v>74</v>
      </c>
      <c r="B39" s="13" t="n">
        <v>550</v>
      </c>
      <c r="C39" s="14" t="n">
        <v>0.243</v>
      </c>
      <c r="D39" s="13" t="n">
        <v>1120</v>
      </c>
      <c r="E39" s="14" t="n">
        <v>0.498</v>
      </c>
      <c r="F39" s="13" t="n">
        <v>1645</v>
      </c>
      <c r="G39" s="14" t="n">
        <v>0.729</v>
      </c>
      <c r="H39" s="13" t="n">
        <v>2025</v>
      </c>
      <c r="I39" s="14" t="n">
        <v>0.899</v>
      </c>
      <c r="J39" s="13" t="n">
        <v>230</v>
      </c>
      <c r="K39" s="14" t="n">
        <v>0.101</v>
      </c>
      <c r="L39" s="13" t="n">
        <v>2255</v>
      </c>
      <c r="M39" s="13" t="n">
        <v>675</v>
      </c>
      <c r="N39" s="14" t="n">
        <v>0.324</v>
      </c>
      <c r="O39" s="13" t="n">
        <v>1220</v>
      </c>
      <c r="P39" s="14" t="n">
        <v>0.586</v>
      </c>
      <c r="Q39" s="13" t="n">
        <v>1655</v>
      </c>
      <c r="R39" s="14" t="n">
        <v>0.793</v>
      </c>
      <c r="S39" s="13" t="n">
        <v>1915</v>
      </c>
      <c r="T39" s="14" t="n">
        <v>0.918</v>
      </c>
      <c r="U39" s="13" t="n">
        <v>170</v>
      </c>
      <c r="V39" s="14" t="n">
        <v>0.082</v>
      </c>
      <c r="W39" s="13" t="n">
        <v>2085</v>
      </c>
      <c r="X39" s="13" t="n">
        <v>770</v>
      </c>
      <c r="Y39" s="14" t="n">
        <v>0.362</v>
      </c>
      <c r="Z39" s="13" t="n">
        <v>1305</v>
      </c>
      <c r="AA39" s="14" t="n">
        <v>0.611</v>
      </c>
      <c r="AB39" s="13" t="n">
        <v>1720</v>
      </c>
      <c r="AC39" s="14" t="n">
        <v>0.808</v>
      </c>
      <c r="AD39" s="13" t="n">
        <v>1985</v>
      </c>
      <c r="AE39" s="14" t="n">
        <v>0.931</v>
      </c>
      <c r="AF39" s="13" t="n">
        <v>150</v>
      </c>
      <c r="AG39" s="14" t="n">
        <v>0.069</v>
      </c>
      <c r="AH39" s="13" t="n">
        <v>2130</v>
      </c>
      <c r="AI39" s="13" t="n">
        <v>1005</v>
      </c>
      <c r="AJ39" s="14" t="n">
        <v>0.517</v>
      </c>
      <c r="AK39" s="13" t="n">
        <v>1435</v>
      </c>
      <c r="AL39" s="14" t="n">
        <v>0.739</v>
      </c>
      <c r="AM39" s="13" t="n">
        <v>1715</v>
      </c>
      <c r="AN39" s="14" t="n">
        <v>0.881</v>
      </c>
      <c r="AO39" s="13" t="n">
        <v>1845</v>
      </c>
      <c r="AP39" s="14" t="n">
        <v>0.949</v>
      </c>
      <c r="AQ39" s="13" t="n">
        <v>100</v>
      </c>
      <c r="AR39" s="14" t="n">
        <v>0.051</v>
      </c>
      <c r="AS39" s="13" t="n">
        <v>1945</v>
      </c>
      <c r="AT39" s="13" t="n">
        <v>865</v>
      </c>
      <c r="AU39" s="14" t="n">
        <v>0.506</v>
      </c>
      <c r="AV39" s="13" t="n">
        <v>1285</v>
      </c>
      <c r="AW39" s="14" t="n">
        <v>0.752</v>
      </c>
      <c r="AX39" s="13" t="n">
        <v>1590</v>
      </c>
      <c r="AY39" s="14" t="n">
        <v>0.932</v>
      </c>
      <c r="AZ39" s="13" t="n">
        <v>1670</v>
      </c>
      <c r="BA39" s="14" t="n">
        <v>0.976</v>
      </c>
      <c r="BB39" s="13" t="n">
        <v>40</v>
      </c>
      <c r="BC39" s="14" t="n">
        <v>0.024</v>
      </c>
      <c r="BD39" s="13" t="n">
        <v>1710</v>
      </c>
      <c r="BE39" s="13" t="n">
        <v>520</v>
      </c>
      <c r="BF39" s="14" t="n">
        <v>0.315</v>
      </c>
      <c r="BG39" s="13" t="n">
        <v>960</v>
      </c>
      <c r="BH39" s="14" t="n">
        <v>0.583</v>
      </c>
      <c r="BI39" s="13" t="n">
        <v>1295</v>
      </c>
      <c r="BJ39" s="14" t="n">
        <v>0.786</v>
      </c>
      <c r="BK39" s="13" t="n">
        <v>1445</v>
      </c>
      <c r="BL39" s="14" t="n">
        <v>0.878</v>
      </c>
      <c r="BM39" s="13" t="n">
        <v>200</v>
      </c>
      <c r="BN39" s="14" t="n">
        <v>0.122</v>
      </c>
      <c r="BO39" s="13" t="n">
        <v>1645</v>
      </c>
    </row>
    <row r="40" customFormat="false" ht="15" hidden="false" customHeight="false" outlineLevel="0" collapsed="false">
      <c r="A40" s="12" t="s">
        <v>76</v>
      </c>
      <c r="B40" s="13" t="n">
        <v>145</v>
      </c>
      <c r="C40" s="14" t="n">
        <v>0.573</v>
      </c>
      <c r="D40" s="13" t="n">
        <v>195</v>
      </c>
      <c r="E40" s="14" t="n">
        <v>0.771</v>
      </c>
      <c r="F40" s="13" t="n">
        <v>230</v>
      </c>
      <c r="G40" s="14" t="n">
        <v>0.913</v>
      </c>
      <c r="H40" s="13" t="n">
        <v>245</v>
      </c>
      <c r="I40" s="14" t="n">
        <v>0.968</v>
      </c>
      <c r="J40" s="13" t="n">
        <v>10</v>
      </c>
      <c r="K40" s="14" t="n">
        <v>0.032</v>
      </c>
      <c r="L40" s="13" t="n">
        <v>255</v>
      </c>
      <c r="M40" s="13" t="n">
        <v>100</v>
      </c>
      <c r="N40" s="14" t="n">
        <v>0.462</v>
      </c>
      <c r="O40" s="13" t="n">
        <v>140</v>
      </c>
      <c r="P40" s="14" t="n">
        <v>0.651</v>
      </c>
      <c r="Q40" s="13" t="n">
        <v>170</v>
      </c>
      <c r="R40" s="14" t="n">
        <v>0.811</v>
      </c>
      <c r="S40" s="13" t="n">
        <v>195</v>
      </c>
      <c r="T40" s="14" t="n">
        <v>0.91</v>
      </c>
      <c r="U40" s="13" t="n">
        <v>20</v>
      </c>
      <c r="V40" s="14" t="n">
        <v>0.09</v>
      </c>
      <c r="W40" s="13" t="n">
        <v>210</v>
      </c>
      <c r="X40" s="13" t="n">
        <v>85</v>
      </c>
      <c r="Y40" s="14" t="n">
        <v>0.349</v>
      </c>
      <c r="Z40" s="13" t="n">
        <v>160</v>
      </c>
      <c r="AA40" s="14" t="n">
        <v>0.643</v>
      </c>
      <c r="AB40" s="13" t="n">
        <v>200</v>
      </c>
      <c r="AC40" s="14" t="n">
        <v>0.807</v>
      </c>
      <c r="AD40" s="13" t="n">
        <v>230</v>
      </c>
      <c r="AE40" s="14" t="n">
        <v>0.928</v>
      </c>
      <c r="AF40" s="13" t="n">
        <v>20</v>
      </c>
      <c r="AG40" s="14" t="n">
        <v>0.072</v>
      </c>
      <c r="AH40" s="13" t="n">
        <v>250</v>
      </c>
      <c r="AI40" s="13" t="n">
        <v>155</v>
      </c>
      <c r="AJ40" s="14" t="s">
        <v>33</v>
      </c>
      <c r="AK40" s="13" t="n">
        <v>200</v>
      </c>
      <c r="AL40" s="14" t="s">
        <v>33</v>
      </c>
      <c r="AM40" s="13" t="n">
        <v>230</v>
      </c>
      <c r="AN40" s="14" t="s">
        <v>33</v>
      </c>
      <c r="AO40" s="13" t="n">
        <v>235</v>
      </c>
      <c r="AP40" s="14" t="s">
        <v>33</v>
      </c>
      <c r="AQ40" s="13" t="s">
        <v>33</v>
      </c>
      <c r="AR40" s="14" t="s">
        <v>33</v>
      </c>
      <c r="AS40" s="13" t="n">
        <v>235</v>
      </c>
      <c r="AT40" s="13" t="n">
        <v>95</v>
      </c>
      <c r="AU40" s="14" t="n">
        <v>0.539</v>
      </c>
      <c r="AV40" s="13" t="n">
        <v>150</v>
      </c>
      <c r="AW40" s="14" t="n">
        <v>0.828</v>
      </c>
      <c r="AX40" s="13" t="n">
        <v>175</v>
      </c>
      <c r="AY40" s="14" t="n">
        <v>0.967</v>
      </c>
      <c r="AZ40" s="13" t="n">
        <v>180</v>
      </c>
      <c r="BA40" s="14" t="n">
        <v>1</v>
      </c>
      <c r="BB40" s="13" t="n">
        <v>0</v>
      </c>
      <c r="BC40" s="14" t="n">
        <v>0</v>
      </c>
      <c r="BD40" s="13" t="n">
        <v>180</v>
      </c>
      <c r="BE40" s="13" t="n">
        <v>55</v>
      </c>
      <c r="BF40" s="14" t="n">
        <v>0.326</v>
      </c>
      <c r="BG40" s="13" t="n">
        <v>100</v>
      </c>
      <c r="BH40" s="14" t="n">
        <v>0.571</v>
      </c>
      <c r="BI40" s="13" t="n">
        <v>135</v>
      </c>
      <c r="BJ40" s="14" t="n">
        <v>0.771</v>
      </c>
      <c r="BK40" s="13" t="n">
        <v>150</v>
      </c>
      <c r="BL40" s="14" t="n">
        <v>0.846</v>
      </c>
      <c r="BM40" s="13" t="n">
        <v>25</v>
      </c>
      <c r="BN40" s="14" t="n">
        <v>0.154</v>
      </c>
      <c r="BO40" s="13" t="n">
        <v>175</v>
      </c>
    </row>
    <row r="41" customFormat="false" ht="15" hidden="false" customHeight="false" outlineLevel="0" collapsed="false">
      <c r="A41" s="12" t="s">
        <v>47</v>
      </c>
      <c r="B41" s="13" t="n">
        <v>150</v>
      </c>
      <c r="C41" s="14" t="n">
        <v>0.365</v>
      </c>
      <c r="D41" s="13" t="n">
        <v>245</v>
      </c>
      <c r="E41" s="14" t="n">
        <v>0.592</v>
      </c>
      <c r="F41" s="13" t="n">
        <v>320</v>
      </c>
      <c r="G41" s="14" t="n">
        <v>0.775</v>
      </c>
      <c r="H41" s="13" t="n">
        <v>380</v>
      </c>
      <c r="I41" s="14" t="n">
        <v>0.923</v>
      </c>
      <c r="J41" s="13" t="n">
        <v>30</v>
      </c>
      <c r="K41" s="14" t="n">
        <v>0.077</v>
      </c>
      <c r="L41" s="13" t="n">
        <v>415</v>
      </c>
      <c r="M41" s="13" t="n">
        <v>155</v>
      </c>
      <c r="N41" s="14" t="n">
        <v>0.386</v>
      </c>
      <c r="O41" s="13" t="n">
        <v>240</v>
      </c>
      <c r="P41" s="14" t="n">
        <v>0.604</v>
      </c>
      <c r="Q41" s="13" t="n">
        <v>325</v>
      </c>
      <c r="R41" s="14" t="n">
        <v>0.815</v>
      </c>
      <c r="S41" s="13" t="n">
        <v>365</v>
      </c>
      <c r="T41" s="14" t="n">
        <v>0.915</v>
      </c>
      <c r="U41" s="13" t="n">
        <v>35</v>
      </c>
      <c r="V41" s="14" t="n">
        <v>0.085</v>
      </c>
      <c r="W41" s="13" t="n">
        <v>400</v>
      </c>
      <c r="X41" s="13" t="n">
        <v>200</v>
      </c>
      <c r="Y41" s="14" t="n">
        <v>0.421</v>
      </c>
      <c r="Z41" s="13" t="n">
        <v>295</v>
      </c>
      <c r="AA41" s="14" t="n">
        <v>0.628</v>
      </c>
      <c r="AB41" s="13" t="n">
        <v>385</v>
      </c>
      <c r="AC41" s="14" t="n">
        <v>0.817</v>
      </c>
      <c r="AD41" s="13" t="n">
        <v>435</v>
      </c>
      <c r="AE41" s="14" t="n">
        <v>0.921</v>
      </c>
      <c r="AF41" s="13" t="n">
        <v>35</v>
      </c>
      <c r="AG41" s="14" t="n">
        <v>0.079</v>
      </c>
      <c r="AH41" s="13" t="n">
        <v>470</v>
      </c>
      <c r="AI41" s="13" t="n">
        <v>280</v>
      </c>
      <c r="AJ41" s="14" t="n">
        <v>0.609</v>
      </c>
      <c r="AK41" s="13" t="n">
        <v>370</v>
      </c>
      <c r="AL41" s="14" t="n">
        <v>0.801</v>
      </c>
      <c r="AM41" s="13" t="n">
        <v>430</v>
      </c>
      <c r="AN41" s="14" t="n">
        <v>0.929</v>
      </c>
      <c r="AO41" s="13" t="n">
        <v>450</v>
      </c>
      <c r="AP41" s="14" t="n">
        <v>0.97</v>
      </c>
      <c r="AQ41" s="13" t="n">
        <v>15</v>
      </c>
      <c r="AR41" s="14" t="n">
        <v>0.03</v>
      </c>
      <c r="AS41" s="13" t="n">
        <v>465</v>
      </c>
      <c r="AT41" s="13" t="n">
        <v>250</v>
      </c>
      <c r="AU41" s="14" t="s">
        <v>33</v>
      </c>
      <c r="AV41" s="13" t="n">
        <v>375</v>
      </c>
      <c r="AW41" s="14" t="s">
        <v>33</v>
      </c>
      <c r="AX41" s="13" t="n">
        <v>450</v>
      </c>
      <c r="AY41" s="14" t="s">
        <v>33</v>
      </c>
      <c r="AZ41" s="13" t="n">
        <v>460</v>
      </c>
      <c r="BA41" s="14" t="s">
        <v>33</v>
      </c>
      <c r="BB41" s="13" t="s">
        <v>33</v>
      </c>
      <c r="BC41" s="14" t="s">
        <v>33</v>
      </c>
      <c r="BD41" s="13" t="n">
        <v>465</v>
      </c>
      <c r="BE41" s="13" t="n">
        <v>175</v>
      </c>
      <c r="BF41" s="14" t="n">
        <v>0.371</v>
      </c>
      <c r="BG41" s="13" t="n">
        <v>265</v>
      </c>
      <c r="BH41" s="14" t="n">
        <v>0.567</v>
      </c>
      <c r="BI41" s="13" t="n">
        <v>365</v>
      </c>
      <c r="BJ41" s="14" t="n">
        <v>0.78</v>
      </c>
      <c r="BK41" s="13" t="n">
        <v>405</v>
      </c>
      <c r="BL41" s="14" t="n">
        <v>0.861</v>
      </c>
      <c r="BM41" s="13" t="n">
        <v>65</v>
      </c>
      <c r="BN41" s="14" t="n">
        <v>0.139</v>
      </c>
      <c r="BO41" s="13" t="n">
        <v>470</v>
      </c>
    </row>
    <row r="42" customFormat="false" ht="15" hidden="false" customHeight="false" outlineLevel="0" collapsed="false">
      <c r="A42" s="12" t="s">
        <v>176</v>
      </c>
      <c r="B42" s="13" t="n">
        <v>70</v>
      </c>
      <c r="C42" s="14" t="n">
        <v>0.453</v>
      </c>
      <c r="D42" s="13" t="n">
        <v>100</v>
      </c>
      <c r="E42" s="14" t="n">
        <v>0.653</v>
      </c>
      <c r="F42" s="13" t="n">
        <v>125</v>
      </c>
      <c r="G42" s="14" t="n">
        <v>0.82</v>
      </c>
      <c r="H42" s="13" t="n">
        <v>135</v>
      </c>
      <c r="I42" s="14" t="n">
        <v>0.907</v>
      </c>
      <c r="J42" s="13" t="n">
        <v>15</v>
      </c>
      <c r="K42" s="14" t="n">
        <v>0.093</v>
      </c>
      <c r="L42" s="13" t="n">
        <v>150</v>
      </c>
      <c r="M42" s="13" t="n">
        <v>85</v>
      </c>
      <c r="N42" s="14" t="n">
        <v>0.509</v>
      </c>
      <c r="O42" s="13" t="n">
        <v>115</v>
      </c>
      <c r="P42" s="14" t="n">
        <v>0.667</v>
      </c>
      <c r="Q42" s="13" t="n">
        <v>130</v>
      </c>
      <c r="R42" s="14" t="n">
        <v>0.772</v>
      </c>
      <c r="S42" s="13" t="n">
        <v>150</v>
      </c>
      <c r="T42" s="14" t="n">
        <v>0.883</v>
      </c>
      <c r="U42" s="13" t="n">
        <v>20</v>
      </c>
      <c r="V42" s="14" t="n">
        <v>0.117</v>
      </c>
      <c r="W42" s="13" t="n">
        <v>170</v>
      </c>
      <c r="X42" s="13" t="n">
        <v>55</v>
      </c>
      <c r="Y42" s="14" t="n">
        <v>0.406</v>
      </c>
      <c r="Z42" s="13" t="n">
        <v>90</v>
      </c>
      <c r="AA42" s="14" t="n">
        <v>0.667</v>
      </c>
      <c r="AB42" s="13" t="n">
        <v>110</v>
      </c>
      <c r="AC42" s="14" t="n">
        <v>0.79</v>
      </c>
      <c r="AD42" s="13" t="n">
        <v>120</v>
      </c>
      <c r="AE42" s="14" t="n">
        <v>0.884</v>
      </c>
      <c r="AF42" s="13" t="n">
        <v>15</v>
      </c>
      <c r="AG42" s="14" t="n">
        <v>0.116</v>
      </c>
      <c r="AH42" s="13" t="n">
        <v>140</v>
      </c>
      <c r="AI42" s="13" t="n">
        <v>140</v>
      </c>
      <c r="AJ42" s="14" t="n">
        <v>0.689</v>
      </c>
      <c r="AK42" s="13" t="n">
        <v>170</v>
      </c>
      <c r="AL42" s="14" t="n">
        <v>0.82</v>
      </c>
      <c r="AM42" s="13" t="n">
        <v>185</v>
      </c>
      <c r="AN42" s="14" t="n">
        <v>0.908</v>
      </c>
      <c r="AO42" s="13" t="n">
        <v>195</v>
      </c>
      <c r="AP42" s="14" t="n">
        <v>0.942</v>
      </c>
      <c r="AQ42" s="13" t="n">
        <v>10</v>
      </c>
      <c r="AR42" s="14" t="n">
        <v>0.058</v>
      </c>
      <c r="AS42" s="13" t="n">
        <v>205</v>
      </c>
      <c r="AT42" s="13" t="n">
        <v>100</v>
      </c>
      <c r="AU42" s="14" t="n">
        <v>0.536</v>
      </c>
      <c r="AV42" s="13" t="n">
        <v>140</v>
      </c>
      <c r="AW42" s="14" t="n">
        <v>0.765</v>
      </c>
      <c r="AX42" s="13" t="n">
        <v>165</v>
      </c>
      <c r="AY42" s="14" t="n">
        <v>0.896</v>
      </c>
      <c r="AZ42" s="13" t="n">
        <v>175</v>
      </c>
      <c r="BA42" s="14" t="n">
        <v>0.962</v>
      </c>
      <c r="BB42" s="13" t="n">
        <v>5</v>
      </c>
      <c r="BC42" s="14" t="n">
        <v>0.038</v>
      </c>
      <c r="BD42" s="13" t="n">
        <v>185</v>
      </c>
      <c r="BE42" s="13" t="n">
        <v>70</v>
      </c>
      <c r="BF42" s="14" t="n">
        <v>0.33</v>
      </c>
      <c r="BG42" s="13" t="n">
        <v>130</v>
      </c>
      <c r="BH42" s="14" t="n">
        <v>0.608</v>
      </c>
      <c r="BI42" s="13" t="n">
        <v>165</v>
      </c>
      <c r="BJ42" s="14" t="n">
        <v>0.778</v>
      </c>
      <c r="BK42" s="13" t="n">
        <v>175</v>
      </c>
      <c r="BL42" s="14" t="n">
        <v>0.835</v>
      </c>
      <c r="BM42" s="13" t="n">
        <v>35</v>
      </c>
      <c r="BN42" s="14" t="n">
        <v>0.165</v>
      </c>
      <c r="BO42" s="13" t="n">
        <v>210</v>
      </c>
    </row>
    <row r="43" customFormat="false" ht="15" hidden="false" customHeight="false" outlineLevel="0" collapsed="false">
      <c r="A43" s="17" t="s">
        <v>48</v>
      </c>
      <c r="B43" s="15" t="n">
        <v>8540</v>
      </c>
      <c r="C43" s="16" t="n">
        <v>0.3</v>
      </c>
      <c r="D43" s="15" t="n">
        <v>15230</v>
      </c>
      <c r="E43" s="16" t="n">
        <v>0.534</v>
      </c>
      <c r="F43" s="15" t="n">
        <v>21445</v>
      </c>
      <c r="G43" s="16" t="n">
        <v>0.753</v>
      </c>
      <c r="H43" s="15" t="n">
        <v>25605</v>
      </c>
      <c r="I43" s="16" t="n">
        <v>0.899</v>
      </c>
      <c r="J43" s="15" t="n">
        <v>2885</v>
      </c>
      <c r="K43" s="16" t="n">
        <v>0.101</v>
      </c>
      <c r="L43" s="15" t="n">
        <v>28495</v>
      </c>
      <c r="M43" s="15" t="n">
        <v>9145</v>
      </c>
      <c r="N43" s="16" t="n">
        <v>0.33</v>
      </c>
      <c r="O43" s="15" t="n">
        <v>16235</v>
      </c>
      <c r="P43" s="16" t="n">
        <v>0.585</v>
      </c>
      <c r="Q43" s="15" t="n">
        <v>22150</v>
      </c>
      <c r="R43" s="16" t="n">
        <v>0.798</v>
      </c>
      <c r="S43" s="15" t="n">
        <v>25720</v>
      </c>
      <c r="T43" s="16" t="n">
        <v>0.927</v>
      </c>
      <c r="U43" s="15" t="n">
        <v>2030</v>
      </c>
      <c r="V43" s="16" t="n">
        <v>0.073</v>
      </c>
      <c r="W43" s="15" t="n">
        <v>27750</v>
      </c>
      <c r="X43" s="15" t="n">
        <v>9510</v>
      </c>
      <c r="Y43" s="16" t="n">
        <v>0.337</v>
      </c>
      <c r="Z43" s="15" t="n">
        <v>16860</v>
      </c>
      <c r="AA43" s="16" t="n">
        <v>0.597</v>
      </c>
      <c r="AB43" s="15" t="n">
        <v>22940</v>
      </c>
      <c r="AC43" s="16" t="n">
        <v>0.813</v>
      </c>
      <c r="AD43" s="15" t="n">
        <v>26355</v>
      </c>
      <c r="AE43" s="16" t="n">
        <v>0.934</v>
      </c>
      <c r="AF43" s="15" t="n">
        <v>1860</v>
      </c>
      <c r="AG43" s="16" t="n">
        <v>0.066</v>
      </c>
      <c r="AH43" s="15" t="n">
        <v>28220</v>
      </c>
      <c r="AI43" s="15" t="n">
        <v>13655</v>
      </c>
      <c r="AJ43" s="16" t="n">
        <v>0.51</v>
      </c>
      <c r="AK43" s="15" t="n">
        <v>19890</v>
      </c>
      <c r="AL43" s="16" t="n">
        <v>0.742</v>
      </c>
      <c r="AM43" s="15" t="n">
        <v>24160</v>
      </c>
      <c r="AN43" s="16" t="n">
        <v>0.902</v>
      </c>
      <c r="AO43" s="15" t="n">
        <v>25645</v>
      </c>
      <c r="AP43" s="16" t="n">
        <v>0.957</v>
      </c>
      <c r="AQ43" s="15" t="n">
        <v>1150</v>
      </c>
      <c r="AR43" s="16" t="n">
        <v>0.043</v>
      </c>
      <c r="AS43" s="15" t="n">
        <v>26795</v>
      </c>
      <c r="AT43" s="15" t="n">
        <v>10920</v>
      </c>
      <c r="AU43" s="16" t="n">
        <v>0.463</v>
      </c>
      <c r="AV43" s="15" t="n">
        <v>17470</v>
      </c>
      <c r="AW43" s="16" t="n">
        <v>0.741</v>
      </c>
      <c r="AX43" s="15" t="n">
        <v>21935</v>
      </c>
      <c r="AY43" s="16" t="n">
        <v>0.931</v>
      </c>
      <c r="AZ43" s="15" t="n">
        <v>23025</v>
      </c>
      <c r="BA43" s="16" t="n">
        <v>0.977</v>
      </c>
      <c r="BB43" s="15" t="n">
        <v>545</v>
      </c>
      <c r="BC43" s="16" t="n">
        <v>0.023</v>
      </c>
      <c r="BD43" s="15" t="n">
        <v>23570</v>
      </c>
      <c r="BE43" s="15" t="n">
        <v>7460</v>
      </c>
      <c r="BF43" s="16" t="n">
        <v>0.318</v>
      </c>
      <c r="BG43" s="15" t="n">
        <v>13305</v>
      </c>
      <c r="BH43" s="16" t="n">
        <v>0.567</v>
      </c>
      <c r="BI43" s="15" t="n">
        <v>18625</v>
      </c>
      <c r="BJ43" s="16" t="n">
        <v>0.794</v>
      </c>
      <c r="BK43" s="15" t="n">
        <v>20595</v>
      </c>
      <c r="BL43" s="16" t="n">
        <v>0.878</v>
      </c>
      <c r="BM43" s="15" t="n">
        <v>2865</v>
      </c>
      <c r="BN43" s="16" t="n">
        <v>0.122</v>
      </c>
      <c r="BO43" s="15" t="n">
        <v>23460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45 A1"/>
    </sheetView>
  </sheetViews>
  <sheetFormatPr defaultColWidth="11.078125" defaultRowHeight="15" zeroHeight="false" outlineLevelRow="0" outlineLevelCol="0"/>
  <cols>
    <col collapsed="false" customWidth="true" hidden="false" outlineLevel="0" max="1" min="1" style="1" width="16.69"/>
    <col collapsed="false" customWidth="true" hidden="false" outlineLevel="0" max="2" min="2" style="1" width="23.69"/>
    <col collapsed="false" customWidth="true" hidden="false" outlineLevel="0" max="3" min="3" style="1" width="28.69"/>
    <col collapsed="false" customWidth="true" hidden="false" outlineLevel="0" max="4" min="4" style="1" width="22.69"/>
    <col collapsed="false" customWidth="true" hidden="false" outlineLevel="0" max="5" min="5" style="1" width="27.69"/>
    <col collapsed="false" customWidth="true" hidden="false" outlineLevel="0" max="6" min="6" style="1" width="20.69"/>
    <col collapsed="false" customWidth="true" hidden="false" outlineLevel="0" max="7" min="7" style="1" width="25.69"/>
    <col collapsed="false" customWidth="true" hidden="false" outlineLevel="0" max="8" min="8" style="1" width="13.69"/>
    <col collapsed="false" customWidth="true" hidden="false" outlineLevel="0" max="9" min="9" style="1" width="23.69"/>
    <col collapsed="false" customWidth="true" hidden="false" outlineLevel="0" max="10" min="10" style="1" width="28.69"/>
    <col collapsed="false" customWidth="true" hidden="false" outlineLevel="0" max="11" min="11" style="1" width="22.69"/>
    <col collapsed="false" customWidth="true" hidden="false" outlineLevel="0" max="12" min="12" style="1" width="27.69"/>
    <col collapsed="false" customWidth="true" hidden="false" outlineLevel="0" max="13" min="13" style="1" width="20.69"/>
    <col collapsed="false" customWidth="true" hidden="false" outlineLevel="0" max="14" min="14" style="1" width="25.69"/>
    <col collapsed="false" customWidth="true" hidden="false" outlineLevel="0" max="15" min="15" style="1" width="13.69"/>
    <col collapsed="false" customWidth="true" hidden="false" outlineLevel="0" max="16" min="16" style="1" width="23.69"/>
    <col collapsed="false" customWidth="true" hidden="false" outlineLevel="0" max="17" min="17" style="1" width="28.69"/>
    <col collapsed="false" customWidth="true" hidden="false" outlineLevel="0" max="18" min="18" style="1" width="22.69"/>
    <col collapsed="false" customWidth="true" hidden="false" outlineLevel="0" max="19" min="19" style="1" width="27.69"/>
    <col collapsed="false" customWidth="true" hidden="false" outlineLevel="0" max="20" min="20" style="1" width="20.69"/>
    <col collapsed="false" customWidth="true" hidden="false" outlineLevel="0" max="21" min="21" style="1" width="25.69"/>
    <col collapsed="false" customWidth="true" hidden="false" outlineLevel="0" max="22" min="22" style="1" width="13.69"/>
    <col collapsed="false" customWidth="true" hidden="false" outlineLevel="0" max="23" min="23" style="1" width="23.69"/>
    <col collapsed="false" customWidth="true" hidden="false" outlineLevel="0" max="24" min="24" style="1" width="28.69"/>
    <col collapsed="false" customWidth="true" hidden="false" outlineLevel="0" max="25" min="25" style="1" width="22.69"/>
    <col collapsed="false" customWidth="true" hidden="false" outlineLevel="0" max="26" min="26" style="1" width="27.69"/>
    <col collapsed="false" customWidth="true" hidden="false" outlineLevel="0" max="27" min="27" style="1" width="20.69"/>
    <col collapsed="false" customWidth="true" hidden="false" outlineLevel="0" max="28" min="28" style="1" width="25.69"/>
    <col collapsed="false" customWidth="true" hidden="false" outlineLevel="0" max="29" min="29" style="1" width="13.69"/>
    <col collapsed="false" customWidth="true" hidden="false" outlineLevel="0" max="30" min="30" style="1" width="23.69"/>
    <col collapsed="false" customWidth="true" hidden="false" outlineLevel="0" max="31" min="31" style="1" width="28.69"/>
    <col collapsed="false" customWidth="true" hidden="false" outlineLevel="0" max="32" min="32" style="1" width="22.69"/>
    <col collapsed="false" customWidth="true" hidden="false" outlineLevel="0" max="33" min="33" style="1" width="27.69"/>
    <col collapsed="false" customWidth="true" hidden="false" outlineLevel="0" max="34" min="34" style="1" width="20.69"/>
    <col collapsed="false" customWidth="true" hidden="false" outlineLevel="0" max="35" min="35" style="1" width="25.69"/>
    <col collapsed="false" customWidth="true" hidden="false" outlineLevel="0" max="36" min="36" style="1" width="13.69"/>
    <col collapsed="false" customWidth="true" hidden="false" outlineLevel="0" max="37" min="37" style="1" width="23.69"/>
    <col collapsed="false" customWidth="true" hidden="false" outlineLevel="0" max="38" min="38" style="1" width="28.69"/>
    <col collapsed="false" customWidth="true" hidden="false" outlineLevel="0" max="39" min="39" style="1" width="22.69"/>
    <col collapsed="false" customWidth="true" hidden="false" outlineLevel="0" max="40" min="40" style="1" width="27.69"/>
    <col collapsed="false" customWidth="true" hidden="false" outlineLevel="0" max="41" min="41" style="1" width="20.69"/>
    <col collapsed="false" customWidth="true" hidden="false" outlineLevel="0" max="42" min="42" style="1" width="25.69"/>
    <col collapsed="false" customWidth="true" hidden="false" outlineLevel="0" max="43" min="43" style="1" width="13.69"/>
  </cols>
  <sheetData>
    <row r="1" customFormat="false" ht="30" hidden="false" customHeight="true" outlineLevel="0" collapsed="false">
      <c r="A1" s="2" t="s">
        <v>177</v>
      </c>
    </row>
    <row r="2" customFormat="false" ht="15" hidden="false" customHeight="false" outlineLevel="0" collapsed="false">
      <c r="A2" s="1" t="s">
        <v>7</v>
      </c>
    </row>
    <row r="3" customFormat="false" ht="15" hidden="false" customHeight="false" outlineLevel="0" collapsed="false">
      <c r="A3" s="1" t="s">
        <v>8</v>
      </c>
    </row>
    <row r="4" customFormat="false" ht="15" hidden="false" customHeight="false" outlineLevel="0" collapsed="false">
      <c r="A4" s="6" t="s">
        <v>9</v>
      </c>
      <c r="B4" s="6" t="s">
        <v>178</v>
      </c>
      <c r="C4" s="6" t="s">
        <v>179</v>
      </c>
      <c r="D4" s="6" t="s">
        <v>180</v>
      </c>
      <c r="E4" s="6" t="s">
        <v>181</v>
      </c>
      <c r="F4" s="6" t="s">
        <v>103</v>
      </c>
      <c r="G4" s="6" t="s">
        <v>104</v>
      </c>
      <c r="H4" s="6" t="s">
        <v>12</v>
      </c>
      <c r="I4" s="6" t="s">
        <v>182</v>
      </c>
      <c r="J4" s="6" t="s">
        <v>183</v>
      </c>
      <c r="K4" s="6" t="s">
        <v>184</v>
      </c>
      <c r="L4" s="6" t="s">
        <v>185</v>
      </c>
      <c r="M4" s="6" t="s">
        <v>113</v>
      </c>
      <c r="N4" s="6" t="s">
        <v>114</v>
      </c>
      <c r="O4" s="6" t="s">
        <v>15</v>
      </c>
      <c r="P4" s="6" t="s">
        <v>186</v>
      </c>
      <c r="Q4" s="6" t="s">
        <v>187</v>
      </c>
      <c r="R4" s="6" t="s">
        <v>188</v>
      </c>
      <c r="S4" s="6" t="s">
        <v>189</v>
      </c>
      <c r="T4" s="6" t="s">
        <v>123</v>
      </c>
      <c r="U4" s="6" t="s">
        <v>124</v>
      </c>
      <c r="V4" s="6" t="s">
        <v>18</v>
      </c>
      <c r="W4" s="6" t="s">
        <v>190</v>
      </c>
      <c r="X4" s="6" t="s">
        <v>191</v>
      </c>
      <c r="Y4" s="6" t="s">
        <v>192</v>
      </c>
      <c r="Z4" s="6" t="s">
        <v>193</v>
      </c>
      <c r="AA4" s="6" t="s">
        <v>133</v>
      </c>
      <c r="AB4" s="6" t="s">
        <v>134</v>
      </c>
      <c r="AC4" s="6" t="s">
        <v>21</v>
      </c>
      <c r="AD4" s="6" t="s">
        <v>194</v>
      </c>
      <c r="AE4" s="6" t="s">
        <v>195</v>
      </c>
      <c r="AF4" s="6" t="s">
        <v>196</v>
      </c>
      <c r="AG4" s="6" t="s">
        <v>197</v>
      </c>
      <c r="AH4" s="6" t="s">
        <v>143</v>
      </c>
      <c r="AI4" s="6" t="s">
        <v>144</v>
      </c>
      <c r="AJ4" s="6" t="s">
        <v>24</v>
      </c>
      <c r="AK4" s="6" t="s">
        <v>198</v>
      </c>
      <c r="AL4" s="6" t="s">
        <v>199</v>
      </c>
      <c r="AM4" s="6" t="s">
        <v>200</v>
      </c>
      <c r="AN4" s="6" t="s">
        <v>201</v>
      </c>
      <c r="AO4" s="6" t="s">
        <v>153</v>
      </c>
      <c r="AP4" s="6" t="s">
        <v>154</v>
      </c>
      <c r="AQ4" s="6" t="s">
        <v>27</v>
      </c>
    </row>
    <row r="5" customFormat="false" ht="15" hidden="false" customHeight="false" outlineLevel="0" collapsed="false">
      <c r="A5" s="1" t="s">
        <v>202</v>
      </c>
      <c r="B5" s="7" t="s">
        <v>33</v>
      </c>
      <c r="C5" s="8" t="s">
        <v>33</v>
      </c>
      <c r="D5" s="7" t="n">
        <v>10</v>
      </c>
      <c r="E5" s="8" t="s">
        <v>33</v>
      </c>
      <c r="F5" s="7" t="s">
        <v>33</v>
      </c>
      <c r="G5" s="8" t="s">
        <v>33</v>
      </c>
      <c r="H5" s="7" t="n">
        <v>10</v>
      </c>
      <c r="I5" s="7" t="n">
        <v>10</v>
      </c>
      <c r="J5" s="8" t="s">
        <v>33</v>
      </c>
      <c r="K5" s="7" t="n">
        <v>10</v>
      </c>
      <c r="L5" s="8" t="s">
        <v>33</v>
      </c>
      <c r="M5" s="7" t="s">
        <v>33</v>
      </c>
      <c r="N5" s="8" t="s">
        <v>33</v>
      </c>
      <c r="O5" s="7" t="n">
        <v>15</v>
      </c>
      <c r="P5" s="7" t="s">
        <v>33</v>
      </c>
      <c r="Q5" s="8" t="s">
        <v>33</v>
      </c>
      <c r="R5" s="7" t="n">
        <v>5</v>
      </c>
      <c r="S5" s="8" t="s">
        <v>33</v>
      </c>
      <c r="T5" s="7" t="s">
        <v>33</v>
      </c>
      <c r="U5" s="8" t="s">
        <v>33</v>
      </c>
      <c r="V5" s="7" t="n">
        <v>10</v>
      </c>
      <c r="W5" s="7" t="n">
        <v>10</v>
      </c>
      <c r="X5" s="8" t="n">
        <v>0.8</v>
      </c>
      <c r="Y5" s="7" t="n">
        <v>10</v>
      </c>
      <c r="Z5" s="8" t="n">
        <v>1</v>
      </c>
      <c r="AA5" s="7" t="n">
        <v>0</v>
      </c>
      <c r="AB5" s="8" t="n">
        <v>0</v>
      </c>
      <c r="AC5" s="7" t="n">
        <v>10</v>
      </c>
      <c r="AD5" s="7" t="s">
        <v>33</v>
      </c>
      <c r="AE5" s="8" t="s">
        <v>33</v>
      </c>
      <c r="AF5" s="7" t="n">
        <v>5</v>
      </c>
      <c r="AG5" s="8" t="s">
        <v>33</v>
      </c>
      <c r="AH5" s="7" t="s">
        <v>33</v>
      </c>
      <c r="AI5" s="8" t="s">
        <v>33</v>
      </c>
      <c r="AJ5" s="7" t="n">
        <v>5</v>
      </c>
      <c r="AK5" s="7" t="s">
        <v>33</v>
      </c>
      <c r="AL5" s="8" t="s">
        <v>33</v>
      </c>
      <c r="AM5" s="7" t="n">
        <v>10</v>
      </c>
      <c r="AN5" s="8" t="s">
        <v>33</v>
      </c>
      <c r="AO5" s="7" t="s">
        <v>33</v>
      </c>
      <c r="AP5" s="8" t="s">
        <v>33</v>
      </c>
      <c r="AQ5" s="7" t="n">
        <v>10</v>
      </c>
    </row>
    <row r="6" customFormat="false" ht="15" hidden="false" customHeight="false" outlineLevel="0" collapsed="false">
      <c r="A6" s="1" t="s">
        <v>203</v>
      </c>
      <c r="B6" s="7" t="n">
        <v>5</v>
      </c>
      <c r="C6" s="8" t="s">
        <v>33</v>
      </c>
      <c r="D6" s="7" t="n">
        <v>5</v>
      </c>
      <c r="E6" s="8" t="s">
        <v>33</v>
      </c>
      <c r="F6" s="7" t="s">
        <v>33</v>
      </c>
      <c r="G6" s="8" t="s">
        <v>33</v>
      </c>
      <c r="H6" s="7" t="n">
        <v>10</v>
      </c>
      <c r="I6" s="7" t="s">
        <v>33</v>
      </c>
      <c r="J6" s="8" t="s">
        <v>33</v>
      </c>
      <c r="K6" s="7" t="n">
        <v>10</v>
      </c>
      <c r="L6" s="8" t="s">
        <v>33</v>
      </c>
      <c r="M6" s="7" t="n">
        <v>15</v>
      </c>
      <c r="N6" s="8" t="s">
        <v>33</v>
      </c>
      <c r="O6" s="7" t="n">
        <v>25</v>
      </c>
      <c r="P6" s="7" t="s">
        <v>33</v>
      </c>
      <c r="Q6" s="8" t="s">
        <v>33</v>
      </c>
      <c r="R6" s="7" t="n">
        <v>5</v>
      </c>
      <c r="S6" s="8" t="s">
        <v>33</v>
      </c>
      <c r="T6" s="7" t="n">
        <v>20</v>
      </c>
      <c r="U6" s="8" t="s">
        <v>33</v>
      </c>
      <c r="V6" s="7" t="n">
        <v>30</v>
      </c>
      <c r="W6" s="7" t="n">
        <v>15</v>
      </c>
      <c r="X6" s="8" t="s">
        <v>33</v>
      </c>
      <c r="Y6" s="7" t="n">
        <v>15</v>
      </c>
      <c r="Z6" s="8" t="s">
        <v>33</v>
      </c>
      <c r="AA6" s="7" t="s">
        <v>33</v>
      </c>
      <c r="AB6" s="8" t="s">
        <v>33</v>
      </c>
      <c r="AC6" s="7" t="n">
        <v>20</v>
      </c>
      <c r="AD6" s="7" t="n">
        <v>15</v>
      </c>
      <c r="AE6" s="8" t="n">
        <v>0.682</v>
      </c>
      <c r="AF6" s="7" t="n">
        <v>15</v>
      </c>
      <c r="AG6" s="8" t="n">
        <v>0.727</v>
      </c>
      <c r="AH6" s="7" t="n">
        <v>5</v>
      </c>
      <c r="AI6" s="8" t="n">
        <v>0.273</v>
      </c>
      <c r="AJ6" s="7" t="n">
        <v>20</v>
      </c>
      <c r="AK6" s="7" t="n">
        <v>10</v>
      </c>
      <c r="AL6" s="8" t="n">
        <v>0.29</v>
      </c>
      <c r="AM6" s="7" t="n">
        <v>15</v>
      </c>
      <c r="AN6" s="8" t="n">
        <v>0.516</v>
      </c>
      <c r="AO6" s="7" t="n">
        <v>15</v>
      </c>
      <c r="AP6" s="8" t="n">
        <v>0.484</v>
      </c>
      <c r="AQ6" s="7" t="n">
        <v>30</v>
      </c>
    </row>
    <row r="7" customFormat="false" ht="15" hidden="false" customHeight="false" outlineLevel="0" collapsed="false">
      <c r="A7" s="1" t="s">
        <v>77</v>
      </c>
      <c r="B7" s="7" t="n">
        <v>45</v>
      </c>
      <c r="C7" s="8" t="n">
        <v>0.459</v>
      </c>
      <c r="D7" s="7" t="n">
        <v>75</v>
      </c>
      <c r="E7" s="8" t="n">
        <v>0.745</v>
      </c>
      <c r="F7" s="7" t="n">
        <v>25</v>
      </c>
      <c r="G7" s="8" t="n">
        <v>0.255</v>
      </c>
      <c r="H7" s="7" t="n">
        <v>100</v>
      </c>
      <c r="I7" s="7" t="n">
        <v>55</v>
      </c>
      <c r="J7" s="8" t="n">
        <v>0.5</v>
      </c>
      <c r="K7" s="7" t="n">
        <v>95</v>
      </c>
      <c r="L7" s="8" t="n">
        <v>0.833</v>
      </c>
      <c r="M7" s="7" t="n">
        <v>20</v>
      </c>
      <c r="N7" s="8" t="n">
        <v>0.167</v>
      </c>
      <c r="O7" s="7" t="n">
        <v>115</v>
      </c>
      <c r="P7" s="7" t="n">
        <v>60</v>
      </c>
      <c r="Q7" s="8" t="n">
        <v>0.566</v>
      </c>
      <c r="R7" s="7" t="n">
        <v>90</v>
      </c>
      <c r="S7" s="8" t="n">
        <v>0.868</v>
      </c>
      <c r="T7" s="7" t="n">
        <v>15</v>
      </c>
      <c r="U7" s="8" t="n">
        <v>0.132</v>
      </c>
      <c r="V7" s="7" t="n">
        <v>105</v>
      </c>
      <c r="W7" s="7" t="n">
        <v>60</v>
      </c>
      <c r="X7" s="8" t="n">
        <v>0.619</v>
      </c>
      <c r="Y7" s="7" t="n">
        <v>90</v>
      </c>
      <c r="Z7" s="8" t="n">
        <v>0.907</v>
      </c>
      <c r="AA7" s="7" t="n">
        <v>10</v>
      </c>
      <c r="AB7" s="8" t="n">
        <v>0.093</v>
      </c>
      <c r="AC7" s="7" t="n">
        <v>95</v>
      </c>
      <c r="AD7" s="7" t="n">
        <v>60</v>
      </c>
      <c r="AE7" s="8" t="n">
        <v>0.558</v>
      </c>
      <c r="AF7" s="7" t="n">
        <v>95</v>
      </c>
      <c r="AG7" s="8" t="n">
        <v>0.913</v>
      </c>
      <c r="AH7" s="7" t="n">
        <v>10</v>
      </c>
      <c r="AI7" s="8" t="n">
        <v>0.087</v>
      </c>
      <c r="AJ7" s="7" t="n">
        <v>105</v>
      </c>
      <c r="AK7" s="7" t="n">
        <v>35</v>
      </c>
      <c r="AL7" s="8" t="n">
        <v>0.343</v>
      </c>
      <c r="AM7" s="7" t="n">
        <v>80</v>
      </c>
      <c r="AN7" s="8" t="n">
        <v>0.722</v>
      </c>
      <c r="AO7" s="7" t="n">
        <v>30</v>
      </c>
      <c r="AP7" s="8" t="n">
        <v>0.278</v>
      </c>
      <c r="AQ7" s="7" t="n">
        <v>110</v>
      </c>
    </row>
    <row r="8" customFormat="false" ht="15" hidden="false" customHeight="false" outlineLevel="0" collapsed="false">
      <c r="A8" s="1" t="s">
        <v>204</v>
      </c>
      <c r="B8" s="7" t="n">
        <v>5</v>
      </c>
      <c r="C8" s="8" t="n">
        <v>0.35</v>
      </c>
      <c r="D8" s="7" t="n">
        <v>15</v>
      </c>
      <c r="E8" s="8" t="n">
        <v>0.65</v>
      </c>
      <c r="F8" s="7" t="n">
        <v>5</v>
      </c>
      <c r="G8" s="8" t="n">
        <v>0.35</v>
      </c>
      <c r="H8" s="7" t="n">
        <v>20</v>
      </c>
      <c r="I8" s="7" t="n">
        <v>10</v>
      </c>
      <c r="J8" s="8" t="n">
        <v>0.476</v>
      </c>
      <c r="K8" s="7" t="n">
        <v>15</v>
      </c>
      <c r="L8" s="8" t="n">
        <v>0.714</v>
      </c>
      <c r="M8" s="7" t="n">
        <v>5</v>
      </c>
      <c r="N8" s="8" t="n">
        <v>0.286</v>
      </c>
      <c r="O8" s="7" t="n">
        <v>20</v>
      </c>
      <c r="P8" s="7" t="n">
        <v>5</v>
      </c>
      <c r="Q8" s="8" t="n">
        <v>0.357</v>
      </c>
      <c r="R8" s="7" t="n">
        <v>10</v>
      </c>
      <c r="S8" s="8" t="n">
        <v>0.571</v>
      </c>
      <c r="T8" s="7" t="n">
        <v>5</v>
      </c>
      <c r="U8" s="8" t="n">
        <v>0.429</v>
      </c>
      <c r="V8" s="7" t="n">
        <v>15</v>
      </c>
      <c r="W8" s="7" t="n">
        <v>15</v>
      </c>
      <c r="X8" s="8" t="s">
        <v>33</v>
      </c>
      <c r="Y8" s="7" t="n">
        <v>25</v>
      </c>
      <c r="Z8" s="8" t="s">
        <v>33</v>
      </c>
      <c r="AA8" s="7" t="s">
        <v>33</v>
      </c>
      <c r="AB8" s="8" t="s">
        <v>33</v>
      </c>
      <c r="AC8" s="7" t="n">
        <v>25</v>
      </c>
      <c r="AD8" s="7" t="n">
        <v>10</v>
      </c>
      <c r="AE8" s="8" t="n">
        <v>0.45</v>
      </c>
      <c r="AF8" s="7" t="n">
        <v>15</v>
      </c>
      <c r="AG8" s="8" t="n">
        <v>0.75</v>
      </c>
      <c r="AH8" s="7" t="n">
        <v>5</v>
      </c>
      <c r="AI8" s="8" t="n">
        <v>0.25</v>
      </c>
      <c r="AJ8" s="7" t="n">
        <v>20</v>
      </c>
      <c r="AK8" s="7" t="n">
        <v>5</v>
      </c>
      <c r="AL8" s="8" t="s">
        <v>33</v>
      </c>
      <c r="AM8" s="7" t="n">
        <v>5</v>
      </c>
      <c r="AN8" s="8" t="s">
        <v>33</v>
      </c>
      <c r="AO8" s="7" t="s">
        <v>33</v>
      </c>
      <c r="AP8" s="8" t="s">
        <v>33</v>
      </c>
      <c r="AQ8" s="7" t="n">
        <v>10</v>
      </c>
    </row>
    <row r="9" customFormat="false" ht="15" hidden="false" customHeight="false" outlineLevel="0" collapsed="false">
      <c r="A9" s="9" t="s">
        <v>48</v>
      </c>
      <c r="B9" s="10" t="n">
        <v>60</v>
      </c>
      <c r="C9" s="11" t="n">
        <v>0.417</v>
      </c>
      <c r="D9" s="10" t="n">
        <v>100</v>
      </c>
      <c r="E9" s="11" t="n">
        <v>0.719</v>
      </c>
      <c r="F9" s="10" t="n">
        <v>40</v>
      </c>
      <c r="G9" s="11" t="n">
        <v>0.281</v>
      </c>
      <c r="H9" s="10" t="n">
        <v>140</v>
      </c>
      <c r="I9" s="10" t="n">
        <v>80</v>
      </c>
      <c r="J9" s="11" t="n">
        <v>0.457</v>
      </c>
      <c r="K9" s="10" t="n">
        <v>130</v>
      </c>
      <c r="L9" s="11" t="n">
        <v>0.757</v>
      </c>
      <c r="M9" s="10" t="n">
        <v>40</v>
      </c>
      <c r="N9" s="11" t="n">
        <v>0.243</v>
      </c>
      <c r="O9" s="10" t="n">
        <v>175</v>
      </c>
      <c r="P9" s="10" t="n">
        <v>70</v>
      </c>
      <c r="Q9" s="11" t="n">
        <v>0.456</v>
      </c>
      <c r="R9" s="10" t="n">
        <v>115</v>
      </c>
      <c r="S9" s="11" t="n">
        <v>0.722</v>
      </c>
      <c r="T9" s="10" t="n">
        <v>45</v>
      </c>
      <c r="U9" s="11" t="n">
        <v>0.278</v>
      </c>
      <c r="V9" s="10" t="n">
        <v>160</v>
      </c>
      <c r="W9" s="10" t="n">
        <v>100</v>
      </c>
      <c r="X9" s="11" t="n">
        <v>0.645</v>
      </c>
      <c r="Y9" s="10" t="n">
        <v>140</v>
      </c>
      <c r="Z9" s="11" t="n">
        <v>0.914</v>
      </c>
      <c r="AA9" s="10" t="n">
        <v>15</v>
      </c>
      <c r="AB9" s="11" t="n">
        <v>0.086</v>
      </c>
      <c r="AC9" s="10" t="n">
        <v>150</v>
      </c>
      <c r="AD9" s="10" t="n">
        <v>85</v>
      </c>
      <c r="AE9" s="11" t="n">
        <v>0.559</v>
      </c>
      <c r="AF9" s="10" t="n">
        <v>130</v>
      </c>
      <c r="AG9" s="11" t="n">
        <v>0.862</v>
      </c>
      <c r="AH9" s="10" t="n">
        <v>20</v>
      </c>
      <c r="AI9" s="11" t="n">
        <v>0.138</v>
      </c>
      <c r="AJ9" s="10" t="n">
        <v>150</v>
      </c>
      <c r="AK9" s="10" t="n">
        <v>55</v>
      </c>
      <c r="AL9" s="11" t="n">
        <v>0.344</v>
      </c>
      <c r="AM9" s="10" t="n">
        <v>110</v>
      </c>
      <c r="AN9" s="11" t="n">
        <v>0.694</v>
      </c>
      <c r="AO9" s="10" t="n">
        <v>50</v>
      </c>
      <c r="AP9" s="11" t="n">
        <v>0.306</v>
      </c>
      <c r="AQ9" s="10" t="n">
        <v>155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45 A1"/>
    </sheetView>
  </sheetViews>
  <sheetFormatPr defaultColWidth="11.078125" defaultRowHeight="15" zeroHeight="false" outlineLevelRow="0" outlineLevelCol="0"/>
  <cols>
    <col collapsed="false" customWidth="true" hidden="false" outlineLevel="0" max="1" min="1" style="1" width="6.69"/>
    <col collapsed="false" customWidth="true" hidden="false" outlineLevel="0" max="2" min="2" style="1" width="61.69"/>
    <col collapsed="false" customWidth="true" hidden="false" outlineLevel="0" max="3" min="3" style="1" width="19.69"/>
    <col collapsed="false" customWidth="true" hidden="false" outlineLevel="0" max="4" min="4" style="1" width="24.69"/>
    <col collapsed="false" customWidth="true" hidden="false" outlineLevel="0" max="5" min="5" style="1" width="13.69"/>
    <col collapsed="false" customWidth="true" hidden="false" outlineLevel="0" max="6" min="6" style="1" width="19.69"/>
    <col collapsed="false" customWidth="true" hidden="false" outlineLevel="0" max="7" min="7" style="1" width="24.69"/>
    <col collapsed="false" customWidth="true" hidden="false" outlineLevel="0" max="8" min="8" style="1" width="13.69"/>
    <col collapsed="false" customWidth="true" hidden="false" outlineLevel="0" max="9" min="9" style="1" width="19.69"/>
    <col collapsed="false" customWidth="true" hidden="false" outlineLevel="0" max="10" min="10" style="1" width="24.69"/>
    <col collapsed="false" customWidth="true" hidden="false" outlineLevel="0" max="11" min="11" style="1" width="13.69"/>
    <col collapsed="false" customWidth="true" hidden="false" outlineLevel="0" max="12" min="12" style="1" width="19.69"/>
    <col collapsed="false" customWidth="true" hidden="false" outlineLevel="0" max="13" min="13" style="1" width="24.69"/>
    <col collapsed="false" customWidth="true" hidden="false" outlineLevel="0" max="14" min="14" style="1" width="13.69"/>
    <col collapsed="false" customWidth="true" hidden="false" outlineLevel="0" max="15" min="15" style="1" width="19.69"/>
    <col collapsed="false" customWidth="true" hidden="false" outlineLevel="0" max="16" min="16" style="1" width="24.69"/>
    <col collapsed="false" customWidth="true" hidden="false" outlineLevel="0" max="17" min="17" style="1" width="13.69"/>
    <col collapsed="false" customWidth="true" hidden="false" outlineLevel="0" max="18" min="18" style="1" width="19.69"/>
    <col collapsed="false" customWidth="true" hidden="false" outlineLevel="0" max="19" min="19" style="1" width="24.69"/>
    <col collapsed="false" customWidth="true" hidden="false" outlineLevel="0" max="20" min="20" style="1" width="13.69"/>
  </cols>
  <sheetData>
    <row r="1" customFormat="false" ht="30" hidden="false" customHeight="true" outlineLevel="0" collapsed="false">
      <c r="A1" s="2" t="s">
        <v>205</v>
      </c>
    </row>
    <row r="2" customFormat="false" ht="15" hidden="false" customHeight="false" outlineLevel="0" collapsed="false">
      <c r="A2" s="1" t="s">
        <v>7</v>
      </c>
    </row>
    <row r="3" customFormat="false" ht="15" hidden="false" customHeight="false" outlineLevel="0" collapsed="false">
      <c r="A3" s="1" t="s">
        <v>8</v>
      </c>
    </row>
    <row r="4" customFormat="false" ht="15" hidden="false" customHeight="false" outlineLevel="0" collapsed="false">
      <c r="A4" s="6" t="s">
        <v>206</v>
      </c>
      <c r="B4" s="6" t="s">
        <v>9</v>
      </c>
      <c r="C4" s="6" t="s">
        <v>10</v>
      </c>
      <c r="D4" s="6" t="s">
        <v>11</v>
      </c>
      <c r="E4" s="6" t="s">
        <v>12</v>
      </c>
      <c r="F4" s="6" t="s">
        <v>13</v>
      </c>
      <c r="G4" s="6" t="s">
        <v>14</v>
      </c>
      <c r="H4" s="6" t="s">
        <v>15</v>
      </c>
      <c r="I4" s="6" t="s">
        <v>16</v>
      </c>
      <c r="J4" s="6" t="s">
        <v>17</v>
      </c>
      <c r="K4" s="6" t="s">
        <v>18</v>
      </c>
      <c r="L4" s="6" t="s">
        <v>19</v>
      </c>
      <c r="M4" s="6" t="s">
        <v>20</v>
      </c>
      <c r="N4" s="6" t="s">
        <v>21</v>
      </c>
      <c r="O4" s="6" t="s">
        <v>22</v>
      </c>
      <c r="P4" s="6" t="s">
        <v>23</v>
      </c>
      <c r="Q4" s="6" t="s">
        <v>24</v>
      </c>
      <c r="R4" s="6" t="s">
        <v>25</v>
      </c>
      <c r="S4" s="6" t="s">
        <v>26</v>
      </c>
      <c r="T4" s="6" t="s">
        <v>27</v>
      </c>
    </row>
    <row r="5" customFormat="false" ht="15" hidden="false" customHeight="false" outlineLevel="0" collapsed="false">
      <c r="A5" s="1" t="s">
        <v>207</v>
      </c>
      <c r="B5" s="1" t="s">
        <v>208</v>
      </c>
      <c r="C5" s="7" t="n">
        <v>30</v>
      </c>
      <c r="D5" s="8" t="n">
        <v>0.933</v>
      </c>
      <c r="E5" s="7" t="n">
        <v>30</v>
      </c>
      <c r="F5" s="7" t="n">
        <v>35</v>
      </c>
      <c r="G5" s="8" t="n">
        <v>0.971</v>
      </c>
      <c r="H5" s="7" t="n">
        <v>35</v>
      </c>
      <c r="I5" s="7" t="n">
        <v>25</v>
      </c>
      <c r="J5" s="8" t="n">
        <v>0.96</v>
      </c>
      <c r="K5" s="7" t="n">
        <v>25</v>
      </c>
      <c r="L5" s="7" t="n">
        <v>35</v>
      </c>
      <c r="M5" s="8" t="n">
        <v>1</v>
      </c>
      <c r="N5" s="7" t="n">
        <v>35</v>
      </c>
      <c r="O5" s="7" t="n">
        <v>30</v>
      </c>
      <c r="P5" s="8" t="n">
        <v>1</v>
      </c>
      <c r="Q5" s="7" t="n">
        <v>30</v>
      </c>
      <c r="R5" s="7" t="n">
        <v>0</v>
      </c>
      <c r="S5" s="8" t="n">
        <v>0</v>
      </c>
      <c r="T5" s="7" t="n">
        <v>15</v>
      </c>
    </row>
    <row r="6" customFormat="false" ht="15" hidden="false" customHeight="false" outlineLevel="0" collapsed="false">
      <c r="A6" s="1" t="s">
        <v>209</v>
      </c>
      <c r="B6" s="1" t="s">
        <v>210</v>
      </c>
      <c r="C6" s="7" t="n">
        <v>2735</v>
      </c>
      <c r="D6" s="8" t="n">
        <v>0.739</v>
      </c>
      <c r="E6" s="7" t="n">
        <v>3695</v>
      </c>
      <c r="F6" s="7" t="n">
        <v>2775</v>
      </c>
      <c r="G6" s="8" t="n">
        <v>0.732</v>
      </c>
      <c r="H6" s="7" t="n">
        <v>3790</v>
      </c>
      <c r="I6" s="7" t="n">
        <v>2470</v>
      </c>
      <c r="J6" s="8" t="n">
        <v>0.745</v>
      </c>
      <c r="K6" s="7" t="n">
        <v>3315</v>
      </c>
      <c r="L6" s="7" t="n">
        <v>2155</v>
      </c>
      <c r="M6" s="8" t="n">
        <v>0.666</v>
      </c>
      <c r="N6" s="7" t="n">
        <v>3235</v>
      </c>
      <c r="O6" s="7" t="n">
        <v>3240</v>
      </c>
      <c r="P6" s="8" t="n">
        <v>0.793</v>
      </c>
      <c r="Q6" s="7" t="n">
        <v>4090</v>
      </c>
      <c r="R6" s="7" t="n">
        <v>2870</v>
      </c>
      <c r="S6" s="8" t="n">
        <v>0.776</v>
      </c>
      <c r="T6" s="7" t="n">
        <v>3700</v>
      </c>
    </row>
    <row r="7" customFormat="false" ht="15" hidden="false" customHeight="false" outlineLevel="0" collapsed="false">
      <c r="A7" s="1" t="s">
        <v>211</v>
      </c>
      <c r="B7" s="1" t="s">
        <v>212</v>
      </c>
      <c r="C7" s="7" t="n">
        <v>11875</v>
      </c>
      <c r="D7" s="8" t="n">
        <v>0.851</v>
      </c>
      <c r="E7" s="7" t="n">
        <v>13955</v>
      </c>
      <c r="F7" s="7" t="n">
        <v>10330</v>
      </c>
      <c r="G7" s="8" t="n">
        <v>0.828</v>
      </c>
      <c r="H7" s="7" t="n">
        <v>12475</v>
      </c>
      <c r="I7" s="7" t="n">
        <v>8605</v>
      </c>
      <c r="J7" s="8" t="n">
        <v>0.801</v>
      </c>
      <c r="K7" s="7" t="n">
        <v>10740</v>
      </c>
      <c r="L7" s="7" t="n">
        <v>8075</v>
      </c>
      <c r="M7" s="8" t="n">
        <v>0.799</v>
      </c>
      <c r="N7" s="7" t="n">
        <v>10105</v>
      </c>
      <c r="O7" s="7" t="n">
        <v>8890</v>
      </c>
      <c r="P7" s="8" t="n">
        <v>0.864</v>
      </c>
      <c r="Q7" s="7" t="n">
        <v>10290</v>
      </c>
      <c r="R7" s="7" t="n">
        <v>6635</v>
      </c>
      <c r="S7" s="8" t="n">
        <v>0.827</v>
      </c>
      <c r="T7" s="7" t="n">
        <v>8025</v>
      </c>
    </row>
    <row r="8" customFormat="false" ht="15" hidden="false" customHeight="false" outlineLevel="0" collapsed="false">
      <c r="A8" s="1" t="s">
        <v>213</v>
      </c>
      <c r="B8" s="1" t="s">
        <v>214</v>
      </c>
      <c r="C8" s="7" t="n">
        <v>225</v>
      </c>
      <c r="D8" s="8" t="n">
        <v>0.607</v>
      </c>
      <c r="E8" s="7" t="n">
        <v>375</v>
      </c>
      <c r="F8" s="7" t="n">
        <v>165</v>
      </c>
      <c r="G8" s="8" t="n">
        <v>0.763</v>
      </c>
      <c r="H8" s="7" t="n">
        <v>215</v>
      </c>
      <c r="I8" s="7" t="n">
        <v>155</v>
      </c>
      <c r="J8" s="8" t="n">
        <v>0.716</v>
      </c>
      <c r="K8" s="7" t="n">
        <v>220</v>
      </c>
      <c r="L8" s="7" t="n">
        <v>200</v>
      </c>
      <c r="M8" s="8" t="n">
        <v>0.81</v>
      </c>
      <c r="N8" s="7" t="n">
        <v>245</v>
      </c>
      <c r="O8" s="7" t="n">
        <v>170</v>
      </c>
      <c r="P8" s="8" t="n">
        <v>0.766</v>
      </c>
      <c r="Q8" s="7" t="n">
        <v>220</v>
      </c>
      <c r="R8" s="7" t="n">
        <v>160</v>
      </c>
      <c r="S8" s="8" t="n">
        <v>0.784</v>
      </c>
      <c r="T8" s="7" t="n">
        <v>205</v>
      </c>
    </row>
    <row r="9" customFormat="false" ht="15" hidden="false" customHeight="false" outlineLevel="0" collapsed="false">
      <c r="A9" s="9" t="s">
        <v>207</v>
      </c>
      <c r="B9" s="9" t="s">
        <v>215</v>
      </c>
      <c r="C9" s="10" t="n">
        <v>30</v>
      </c>
      <c r="D9" s="11" t="n">
        <v>0.933</v>
      </c>
      <c r="E9" s="10" t="n">
        <v>30</v>
      </c>
      <c r="F9" s="10" t="n">
        <v>35</v>
      </c>
      <c r="G9" s="11" t="n">
        <v>0.971</v>
      </c>
      <c r="H9" s="10" t="n">
        <v>35</v>
      </c>
      <c r="I9" s="10" t="n">
        <v>25</v>
      </c>
      <c r="J9" s="11" t="n">
        <v>0.96</v>
      </c>
      <c r="K9" s="10" t="n">
        <v>25</v>
      </c>
      <c r="L9" s="10" t="n">
        <v>35</v>
      </c>
      <c r="M9" s="11" t="n">
        <v>1</v>
      </c>
      <c r="N9" s="10" t="n">
        <v>35</v>
      </c>
      <c r="O9" s="10" t="n">
        <v>30</v>
      </c>
      <c r="P9" s="11" t="n">
        <v>1</v>
      </c>
      <c r="Q9" s="10" t="n">
        <v>30</v>
      </c>
      <c r="R9" s="10" t="n">
        <v>0</v>
      </c>
      <c r="S9" s="11" t="n">
        <v>0</v>
      </c>
      <c r="T9" s="10" t="n">
        <v>15</v>
      </c>
    </row>
    <row r="10" customFormat="false" ht="15" hidden="false" customHeight="false" outlineLevel="0" collapsed="false">
      <c r="A10" s="1" t="s">
        <v>209</v>
      </c>
      <c r="B10" s="1" t="s">
        <v>216</v>
      </c>
      <c r="C10" s="7" t="n">
        <v>565</v>
      </c>
      <c r="D10" s="8" t="n">
        <v>0.825</v>
      </c>
      <c r="E10" s="7" t="n">
        <v>685</v>
      </c>
      <c r="F10" s="7" t="n">
        <v>575</v>
      </c>
      <c r="G10" s="8" t="n">
        <v>0.816</v>
      </c>
      <c r="H10" s="7" t="n">
        <v>705</v>
      </c>
      <c r="I10" s="7" t="n">
        <v>395</v>
      </c>
      <c r="J10" s="8" t="n">
        <v>0.841</v>
      </c>
      <c r="K10" s="7" t="n">
        <v>470</v>
      </c>
      <c r="L10" s="7" t="n">
        <v>205</v>
      </c>
      <c r="M10" s="8" t="n">
        <v>0.63</v>
      </c>
      <c r="N10" s="7" t="n">
        <v>325</v>
      </c>
      <c r="O10" s="7" t="n">
        <v>225</v>
      </c>
      <c r="P10" s="8" t="n">
        <v>0.765</v>
      </c>
      <c r="Q10" s="7" t="n">
        <v>295</v>
      </c>
      <c r="R10" s="7" t="n">
        <v>175</v>
      </c>
      <c r="S10" s="8" t="n">
        <v>0.854</v>
      </c>
      <c r="T10" s="7" t="n">
        <v>205</v>
      </c>
    </row>
    <row r="11" customFormat="false" ht="15" hidden="false" customHeight="false" outlineLevel="0" collapsed="false">
      <c r="A11" s="1" t="s">
        <v>209</v>
      </c>
      <c r="B11" s="1" t="s">
        <v>217</v>
      </c>
      <c r="C11" s="7" t="n">
        <v>10</v>
      </c>
      <c r="D11" s="8" t="n">
        <v>0.24</v>
      </c>
      <c r="E11" s="7" t="n">
        <v>50</v>
      </c>
      <c r="F11" s="7" t="n">
        <v>20</v>
      </c>
      <c r="G11" s="8" t="n">
        <v>0.778</v>
      </c>
      <c r="H11" s="7" t="n">
        <v>25</v>
      </c>
      <c r="I11" s="7" t="n">
        <v>25</v>
      </c>
      <c r="J11" s="8" t="n">
        <v>0.455</v>
      </c>
      <c r="K11" s="7" t="n">
        <v>55</v>
      </c>
      <c r="L11" s="7" t="n">
        <v>15</v>
      </c>
      <c r="M11" s="8" t="n">
        <v>0.349</v>
      </c>
      <c r="N11" s="7" t="n">
        <v>45</v>
      </c>
      <c r="O11" s="7" t="n">
        <v>30</v>
      </c>
      <c r="P11" s="8" t="n">
        <v>0.938</v>
      </c>
      <c r="Q11" s="7" t="n">
        <v>30</v>
      </c>
      <c r="R11" s="7" t="n">
        <v>20</v>
      </c>
      <c r="S11" s="8" t="n">
        <v>0.647</v>
      </c>
      <c r="T11" s="7" t="n">
        <v>35</v>
      </c>
    </row>
    <row r="12" customFormat="false" ht="15" hidden="false" customHeight="false" outlineLevel="0" collapsed="false">
      <c r="A12" s="1" t="s">
        <v>209</v>
      </c>
      <c r="B12" s="1" t="s">
        <v>218</v>
      </c>
      <c r="C12" s="7" t="s">
        <v>35</v>
      </c>
      <c r="D12" s="8" t="s">
        <v>35</v>
      </c>
      <c r="E12" s="7" t="s">
        <v>35</v>
      </c>
      <c r="F12" s="7" t="s">
        <v>35</v>
      </c>
      <c r="G12" s="8" t="s">
        <v>35</v>
      </c>
      <c r="H12" s="7" t="s">
        <v>35</v>
      </c>
      <c r="I12" s="7" t="s">
        <v>35</v>
      </c>
      <c r="J12" s="8" t="s">
        <v>35</v>
      </c>
      <c r="K12" s="7" t="s">
        <v>35</v>
      </c>
      <c r="L12" s="7" t="s">
        <v>35</v>
      </c>
      <c r="M12" s="8" t="s">
        <v>35</v>
      </c>
      <c r="N12" s="7" t="s">
        <v>35</v>
      </c>
      <c r="O12" s="7" t="n">
        <v>505</v>
      </c>
      <c r="P12" s="8" t="n">
        <v>0.751</v>
      </c>
      <c r="Q12" s="7" t="n">
        <v>670</v>
      </c>
      <c r="R12" s="7" t="n">
        <v>450</v>
      </c>
      <c r="S12" s="8" t="n">
        <v>0.7</v>
      </c>
      <c r="T12" s="7" t="n">
        <v>640</v>
      </c>
    </row>
    <row r="13" customFormat="false" ht="15" hidden="false" customHeight="false" outlineLevel="0" collapsed="false">
      <c r="A13" s="1" t="s">
        <v>209</v>
      </c>
      <c r="B13" s="1" t="s">
        <v>219</v>
      </c>
      <c r="C13" s="7" t="s">
        <v>33</v>
      </c>
      <c r="D13" s="8" t="s">
        <v>33</v>
      </c>
      <c r="E13" s="7" t="n">
        <v>15</v>
      </c>
      <c r="F13" s="7" t="s">
        <v>33</v>
      </c>
      <c r="G13" s="8" t="s">
        <v>33</v>
      </c>
      <c r="H13" s="7" t="s">
        <v>33</v>
      </c>
      <c r="I13" s="7" t="n">
        <v>0</v>
      </c>
      <c r="J13" s="8" t="n">
        <v>0</v>
      </c>
      <c r="K13" s="7" t="s">
        <v>33</v>
      </c>
      <c r="L13" s="7" t="n">
        <v>10</v>
      </c>
      <c r="M13" s="8" t="n">
        <v>0.9</v>
      </c>
      <c r="N13" s="7" t="n">
        <v>10</v>
      </c>
      <c r="O13" s="7" t="n">
        <v>15</v>
      </c>
      <c r="P13" s="8" t="n">
        <v>1</v>
      </c>
      <c r="Q13" s="7" t="n">
        <v>15</v>
      </c>
      <c r="R13" s="7" t="n">
        <v>25</v>
      </c>
      <c r="S13" s="8" t="n">
        <v>0.667</v>
      </c>
      <c r="T13" s="7" t="n">
        <v>40</v>
      </c>
    </row>
    <row r="14" customFormat="false" ht="15" hidden="false" customHeight="false" outlineLevel="0" collapsed="false">
      <c r="A14" s="1" t="s">
        <v>209</v>
      </c>
      <c r="B14" s="1" t="s">
        <v>220</v>
      </c>
      <c r="C14" s="7" t="s">
        <v>35</v>
      </c>
      <c r="D14" s="8" t="s">
        <v>35</v>
      </c>
      <c r="E14" s="7" t="s">
        <v>35</v>
      </c>
      <c r="F14" s="7" t="s">
        <v>35</v>
      </c>
      <c r="G14" s="8" t="s">
        <v>35</v>
      </c>
      <c r="H14" s="7" t="s">
        <v>35</v>
      </c>
      <c r="I14" s="7" t="s">
        <v>35</v>
      </c>
      <c r="J14" s="8" t="s">
        <v>35</v>
      </c>
      <c r="K14" s="7" t="s">
        <v>35</v>
      </c>
      <c r="L14" s="7" t="s">
        <v>35</v>
      </c>
      <c r="M14" s="8" t="s">
        <v>35</v>
      </c>
      <c r="N14" s="7" t="s">
        <v>35</v>
      </c>
      <c r="O14" s="7" t="n">
        <v>255</v>
      </c>
      <c r="P14" s="8" t="n">
        <v>0.88</v>
      </c>
      <c r="Q14" s="7" t="n">
        <v>290</v>
      </c>
      <c r="R14" s="7" t="n">
        <v>430</v>
      </c>
      <c r="S14" s="8" t="n">
        <v>0.795</v>
      </c>
      <c r="T14" s="7" t="n">
        <v>540</v>
      </c>
    </row>
    <row r="15" customFormat="false" ht="15" hidden="false" customHeight="false" outlineLevel="0" collapsed="false">
      <c r="A15" s="1" t="s">
        <v>209</v>
      </c>
      <c r="B15" s="1" t="s">
        <v>221</v>
      </c>
      <c r="C15" s="7" t="n">
        <v>470</v>
      </c>
      <c r="D15" s="8" t="n">
        <v>0.686</v>
      </c>
      <c r="E15" s="7" t="n">
        <v>690</v>
      </c>
      <c r="F15" s="7" t="n">
        <v>430</v>
      </c>
      <c r="G15" s="8" t="n">
        <v>0.65</v>
      </c>
      <c r="H15" s="7" t="n">
        <v>660</v>
      </c>
      <c r="I15" s="7" t="n">
        <v>460</v>
      </c>
      <c r="J15" s="8" t="n">
        <v>0.676</v>
      </c>
      <c r="K15" s="7" t="n">
        <v>680</v>
      </c>
      <c r="L15" s="7" t="n">
        <v>540</v>
      </c>
      <c r="M15" s="8" t="n">
        <v>0.673</v>
      </c>
      <c r="N15" s="7" t="n">
        <v>805</v>
      </c>
      <c r="O15" s="7" t="n">
        <v>390</v>
      </c>
      <c r="P15" s="8" t="n">
        <v>0.7</v>
      </c>
      <c r="Q15" s="7" t="n">
        <v>555</v>
      </c>
      <c r="R15" s="7" t="n">
        <v>365</v>
      </c>
      <c r="S15" s="8" t="n">
        <v>0.752</v>
      </c>
      <c r="T15" s="7" t="n">
        <v>485</v>
      </c>
    </row>
    <row r="16" customFormat="false" ht="15" hidden="false" customHeight="false" outlineLevel="0" collapsed="false">
      <c r="A16" s="1" t="s">
        <v>209</v>
      </c>
      <c r="B16" s="1" t="s">
        <v>222</v>
      </c>
      <c r="C16" s="7" t="n">
        <v>210</v>
      </c>
      <c r="D16" s="8" t="n">
        <v>0.74</v>
      </c>
      <c r="E16" s="7" t="n">
        <v>280</v>
      </c>
      <c r="F16" s="7" t="n">
        <v>170</v>
      </c>
      <c r="G16" s="8" t="n">
        <v>0.808</v>
      </c>
      <c r="H16" s="7" t="n">
        <v>215</v>
      </c>
      <c r="I16" s="7" t="n">
        <v>215</v>
      </c>
      <c r="J16" s="8" t="n">
        <v>0.798</v>
      </c>
      <c r="K16" s="7" t="n">
        <v>270</v>
      </c>
      <c r="L16" s="7" t="n">
        <v>90</v>
      </c>
      <c r="M16" s="8" t="n">
        <v>0.401</v>
      </c>
      <c r="N16" s="7" t="n">
        <v>220</v>
      </c>
      <c r="O16" s="7" t="n">
        <v>285</v>
      </c>
      <c r="P16" s="8" t="n">
        <v>0.816</v>
      </c>
      <c r="Q16" s="7" t="n">
        <v>350</v>
      </c>
      <c r="R16" s="7" t="n">
        <v>165</v>
      </c>
      <c r="S16" s="8" t="n">
        <v>0.678</v>
      </c>
      <c r="T16" s="7" t="n">
        <v>245</v>
      </c>
    </row>
    <row r="17" customFormat="false" ht="15" hidden="false" customHeight="false" outlineLevel="0" collapsed="false">
      <c r="A17" s="1" t="s">
        <v>209</v>
      </c>
      <c r="B17" s="1" t="s">
        <v>223</v>
      </c>
      <c r="C17" s="7" t="n">
        <v>250</v>
      </c>
      <c r="D17" s="8" t="n">
        <v>0.912</v>
      </c>
      <c r="E17" s="7" t="n">
        <v>275</v>
      </c>
      <c r="F17" s="7" t="n">
        <v>220</v>
      </c>
      <c r="G17" s="8" t="n">
        <v>0.804</v>
      </c>
      <c r="H17" s="7" t="n">
        <v>270</v>
      </c>
      <c r="I17" s="7" t="n">
        <v>265</v>
      </c>
      <c r="J17" s="8" t="n">
        <v>0.94</v>
      </c>
      <c r="K17" s="7" t="n">
        <v>285</v>
      </c>
      <c r="L17" s="7" t="n">
        <v>275</v>
      </c>
      <c r="M17" s="8" t="n">
        <v>0.713</v>
      </c>
      <c r="N17" s="7" t="n">
        <v>385</v>
      </c>
      <c r="O17" s="7" t="n">
        <v>290</v>
      </c>
      <c r="P17" s="8" t="n">
        <v>0.947</v>
      </c>
      <c r="Q17" s="7" t="n">
        <v>305</v>
      </c>
      <c r="R17" s="7" t="n">
        <v>285</v>
      </c>
      <c r="S17" s="8" t="n">
        <v>0.922</v>
      </c>
      <c r="T17" s="7" t="n">
        <v>310</v>
      </c>
    </row>
    <row r="18" customFormat="false" ht="15" hidden="false" customHeight="false" outlineLevel="0" collapsed="false">
      <c r="A18" s="1" t="s">
        <v>209</v>
      </c>
      <c r="B18" s="1" t="s">
        <v>224</v>
      </c>
      <c r="C18" s="7" t="n">
        <v>50</v>
      </c>
      <c r="D18" s="8" t="n">
        <v>0.548</v>
      </c>
      <c r="E18" s="7" t="n">
        <v>95</v>
      </c>
      <c r="F18" s="7" t="n">
        <v>50</v>
      </c>
      <c r="G18" s="8" t="n">
        <v>0.462</v>
      </c>
      <c r="H18" s="7" t="n">
        <v>105</v>
      </c>
      <c r="I18" s="7" t="n">
        <v>85</v>
      </c>
      <c r="J18" s="8" t="n">
        <v>0.558</v>
      </c>
      <c r="K18" s="7" t="n">
        <v>155</v>
      </c>
      <c r="L18" s="7" t="n">
        <v>80</v>
      </c>
      <c r="M18" s="8" t="n">
        <v>0.643</v>
      </c>
      <c r="N18" s="7" t="n">
        <v>125</v>
      </c>
      <c r="O18" s="7" t="n">
        <v>110</v>
      </c>
      <c r="P18" s="8" t="n">
        <v>0.692</v>
      </c>
      <c r="Q18" s="7" t="n">
        <v>160</v>
      </c>
      <c r="R18" s="7" t="n">
        <v>180</v>
      </c>
      <c r="S18" s="8" t="n">
        <v>0.857</v>
      </c>
      <c r="T18" s="7" t="n">
        <v>210</v>
      </c>
    </row>
    <row r="19" customFormat="false" ht="15" hidden="false" customHeight="false" outlineLevel="0" collapsed="false">
      <c r="A19" s="1" t="s">
        <v>209</v>
      </c>
      <c r="B19" s="1" t="s">
        <v>225</v>
      </c>
      <c r="C19" s="7" t="n">
        <v>260</v>
      </c>
      <c r="D19" s="8" t="n">
        <v>0.737</v>
      </c>
      <c r="E19" s="7" t="n">
        <v>350</v>
      </c>
      <c r="F19" s="7" t="n">
        <v>305</v>
      </c>
      <c r="G19" s="8" t="n">
        <v>0.63</v>
      </c>
      <c r="H19" s="7" t="n">
        <v>485</v>
      </c>
      <c r="I19" s="7" t="n">
        <v>130</v>
      </c>
      <c r="J19" s="8" t="n">
        <v>0.665</v>
      </c>
      <c r="K19" s="7" t="n">
        <v>195</v>
      </c>
      <c r="L19" s="7" t="n">
        <v>110</v>
      </c>
      <c r="M19" s="8" t="n">
        <v>0.628</v>
      </c>
      <c r="N19" s="7" t="n">
        <v>170</v>
      </c>
      <c r="O19" s="7" t="n">
        <v>110</v>
      </c>
      <c r="P19" s="8" t="n">
        <v>0.747</v>
      </c>
      <c r="Q19" s="7" t="n">
        <v>145</v>
      </c>
      <c r="R19" s="7" t="n">
        <v>70</v>
      </c>
      <c r="S19" s="8" t="n">
        <v>0.847</v>
      </c>
      <c r="T19" s="7" t="n">
        <v>85</v>
      </c>
    </row>
    <row r="20" customFormat="false" ht="15" hidden="false" customHeight="false" outlineLevel="0" collapsed="false">
      <c r="A20" s="1" t="s">
        <v>209</v>
      </c>
      <c r="B20" s="1" t="s">
        <v>226</v>
      </c>
      <c r="C20" s="7" t="s">
        <v>35</v>
      </c>
      <c r="D20" s="8" t="s">
        <v>35</v>
      </c>
      <c r="E20" s="7" t="n">
        <v>0</v>
      </c>
      <c r="F20" s="7" t="s">
        <v>35</v>
      </c>
      <c r="G20" s="8" t="s">
        <v>35</v>
      </c>
      <c r="H20" s="7" t="n">
        <v>0</v>
      </c>
      <c r="I20" s="7" t="n">
        <v>10</v>
      </c>
      <c r="J20" s="8" t="n">
        <v>1</v>
      </c>
      <c r="K20" s="7" t="n">
        <v>10</v>
      </c>
      <c r="L20" s="7" t="s">
        <v>35</v>
      </c>
      <c r="M20" s="8" t="s">
        <v>35</v>
      </c>
      <c r="N20" s="7" t="s">
        <v>35</v>
      </c>
      <c r="O20" s="7" t="s">
        <v>35</v>
      </c>
      <c r="P20" s="8" t="s">
        <v>35</v>
      </c>
      <c r="Q20" s="7" t="s">
        <v>35</v>
      </c>
      <c r="R20" s="7" t="s">
        <v>35</v>
      </c>
      <c r="S20" s="8" t="s">
        <v>35</v>
      </c>
      <c r="T20" s="7" t="s">
        <v>35</v>
      </c>
    </row>
    <row r="21" customFormat="false" ht="15" hidden="false" customHeight="false" outlineLevel="0" collapsed="false">
      <c r="A21" s="1" t="s">
        <v>209</v>
      </c>
      <c r="B21" s="1" t="s">
        <v>227</v>
      </c>
      <c r="C21" s="7" t="n">
        <v>275</v>
      </c>
      <c r="D21" s="8" t="n">
        <v>0.873</v>
      </c>
      <c r="E21" s="7" t="n">
        <v>315</v>
      </c>
      <c r="F21" s="7" t="n">
        <v>315</v>
      </c>
      <c r="G21" s="8" t="n">
        <v>0.815</v>
      </c>
      <c r="H21" s="7" t="n">
        <v>390</v>
      </c>
      <c r="I21" s="7" t="n">
        <v>245</v>
      </c>
      <c r="J21" s="8" t="n">
        <v>0.801</v>
      </c>
      <c r="K21" s="7" t="n">
        <v>305</v>
      </c>
      <c r="L21" s="7" t="n">
        <v>230</v>
      </c>
      <c r="M21" s="8" t="n">
        <v>0.759</v>
      </c>
      <c r="N21" s="7" t="n">
        <v>305</v>
      </c>
      <c r="O21" s="7" t="n">
        <v>290</v>
      </c>
      <c r="P21" s="8" t="n">
        <v>0.811</v>
      </c>
      <c r="Q21" s="7" t="n">
        <v>355</v>
      </c>
      <c r="R21" s="7" t="n">
        <v>240</v>
      </c>
      <c r="S21" s="8" t="n">
        <v>0.831</v>
      </c>
      <c r="T21" s="7" t="n">
        <v>290</v>
      </c>
    </row>
    <row r="22" customFormat="false" ht="15" hidden="false" customHeight="false" outlineLevel="0" collapsed="false">
      <c r="A22" s="1" t="s">
        <v>209</v>
      </c>
      <c r="B22" s="1" t="s">
        <v>228</v>
      </c>
      <c r="C22" s="7" t="n">
        <v>175</v>
      </c>
      <c r="D22" s="8" t="n">
        <v>0.78</v>
      </c>
      <c r="E22" s="7" t="n">
        <v>225</v>
      </c>
      <c r="F22" s="7" t="n">
        <v>110</v>
      </c>
      <c r="G22" s="8" t="n">
        <v>0.755</v>
      </c>
      <c r="H22" s="7" t="n">
        <v>145</v>
      </c>
      <c r="I22" s="7" t="n">
        <v>90</v>
      </c>
      <c r="J22" s="8" t="n">
        <v>0.709</v>
      </c>
      <c r="K22" s="7" t="n">
        <v>125</v>
      </c>
      <c r="L22" s="7" t="n">
        <v>100</v>
      </c>
      <c r="M22" s="8" t="n">
        <v>0.618</v>
      </c>
      <c r="N22" s="7" t="n">
        <v>165</v>
      </c>
      <c r="O22" s="7" t="n">
        <v>90</v>
      </c>
      <c r="P22" s="8" t="n">
        <v>0.786</v>
      </c>
      <c r="Q22" s="7" t="n">
        <v>115</v>
      </c>
      <c r="R22" s="7" t="n">
        <v>90</v>
      </c>
      <c r="S22" s="8" t="n">
        <v>0.701</v>
      </c>
      <c r="T22" s="7" t="n">
        <v>125</v>
      </c>
    </row>
    <row r="23" customFormat="false" ht="15" hidden="false" customHeight="false" outlineLevel="0" collapsed="false">
      <c r="A23" s="1" t="s">
        <v>209</v>
      </c>
      <c r="B23" s="1" t="s">
        <v>229</v>
      </c>
      <c r="C23" s="7" t="n">
        <v>280</v>
      </c>
      <c r="D23" s="8" t="n">
        <v>0.593</v>
      </c>
      <c r="E23" s="7" t="n">
        <v>475</v>
      </c>
      <c r="F23" s="7" t="n">
        <v>275</v>
      </c>
      <c r="G23" s="8" t="n">
        <v>0.608</v>
      </c>
      <c r="H23" s="7" t="n">
        <v>455</v>
      </c>
      <c r="I23" s="7" t="n">
        <v>285</v>
      </c>
      <c r="J23" s="8" t="n">
        <v>0.651</v>
      </c>
      <c r="K23" s="7" t="n">
        <v>440</v>
      </c>
      <c r="L23" s="7" t="n">
        <v>330</v>
      </c>
      <c r="M23" s="8" t="n">
        <v>0.688</v>
      </c>
      <c r="N23" s="7" t="n">
        <v>480</v>
      </c>
      <c r="O23" s="7" t="n">
        <v>415</v>
      </c>
      <c r="P23" s="8" t="n">
        <v>0.789</v>
      </c>
      <c r="Q23" s="7" t="n">
        <v>525</v>
      </c>
      <c r="R23" s="7" t="n">
        <v>190</v>
      </c>
      <c r="S23" s="8" t="n">
        <v>0.681</v>
      </c>
      <c r="T23" s="7" t="n">
        <v>280</v>
      </c>
    </row>
    <row r="24" customFormat="false" ht="15" hidden="false" customHeight="false" outlineLevel="0" collapsed="false">
      <c r="A24" s="1" t="s">
        <v>209</v>
      </c>
      <c r="B24" s="1" t="s">
        <v>230</v>
      </c>
      <c r="C24" s="7" t="n">
        <v>185</v>
      </c>
      <c r="D24" s="8" t="n">
        <v>0.746</v>
      </c>
      <c r="E24" s="7" t="n">
        <v>250</v>
      </c>
      <c r="F24" s="7" t="n">
        <v>305</v>
      </c>
      <c r="G24" s="8" t="n">
        <v>0.904</v>
      </c>
      <c r="H24" s="7" t="n">
        <v>335</v>
      </c>
      <c r="I24" s="7" t="n">
        <v>265</v>
      </c>
      <c r="J24" s="8" t="n">
        <v>0.814</v>
      </c>
      <c r="K24" s="7" t="n">
        <v>325</v>
      </c>
      <c r="L24" s="7" t="n">
        <v>170</v>
      </c>
      <c r="M24" s="8" t="n">
        <v>0.854</v>
      </c>
      <c r="N24" s="7" t="n">
        <v>200</v>
      </c>
      <c r="O24" s="7" t="n">
        <v>235</v>
      </c>
      <c r="P24" s="8" t="n">
        <v>0.861</v>
      </c>
      <c r="Q24" s="7" t="n">
        <v>275</v>
      </c>
      <c r="R24" s="7" t="n">
        <v>175</v>
      </c>
      <c r="S24" s="8" t="n">
        <v>0.867</v>
      </c>
      <c r="T24" s="7" t="n">
        <v>205</v>
      </c>
    </row>
    <row r="25" customFormat="false" ht="15" hidden="false" customHeight="false" outlineLevel="0" collapsed="false">
      <c r="A25" s="1" t="s">
        <v>211</v>
      </c>
      <c r="B25" s="1" t="s">
        <v>218</v>
      </c>
      <c r="C25" s="7" t="s">
        <v>35</v>
      </c>
      <c r="D25" s="8" t="s">
        <v>35</v>
      </c>
      <c r="E25" s="7" t="s">
        <v>35</v>
      </c>
      <c r="F25" s="7" t="s">
        <v>35</v>
      </c>
      <c r="G25" s="8" t="s">
        <v>35</v>
      </c>
      <c r="H25" s="7" t="s">
        <v>35</v>
      </c>
      <c r="I25" s="7" t="s">
        <v>35</v>
      </c>
      <c r="J25" s="8" t="s">
        <v>35</v>
      </c>
      <c r="K25" s="7" t="s">
        <v>35</v>
      </c>
      <c r="L25" s="7" t="s">
        <v>35</v>
      </c>
      <c r="M25" s="8" t="s">
        <v>35</v>
      </c>
      <c r="N25" s="7" t="s">
        <v>35</v>
      </c>
      <c r="O25" s="7" t="n">
        <v>520</v>
      </c>
      <c r="P25" s="8" t="n">
        <v>0.844</v>
      </c>
      <c r="Q25" s="7" t="n">
        <v>615</v>
      </c>
      <c r="R25" s="7" t="n">
        <v>405</v>
      </c>
      <c r="S25" s="8" t="n">
        <v>0.724</v>
      </c>
      <c r="T25" s="7" t="n">
        <v>555</v>
      </c>
    </row>
    <row r="26" customFormat="false" ht="15" hidden="false" customHeight="false" outlineLevel="0" collapsed="false">
      <c r="A26" s="1" t="s">
        <v>211</v>
      </c>
      <c r="B26" s="1" t="s">
        <v>231</v>
      </c>
      <c r="C26" s="7" t="n">
        <v>660</v>
      </c>
      <c r="D26" s="8" t="n">
        <v>0.856</v>
      </c>
      <c r="E26" s="7" t="n">
        <v>775</v>
      </c>
      <c r="F26" s="7" t="n">
        <v>570</v>
      </c>
      <c r="G26" s="8" t="n">
        <v>0.802</v>
      </c>
      <c r="H26" s="7" t="n">
        <v>710</v>
      </c>
      <c r="I26" s="7" t="n">
        <v>445</v>
      </c>
      <c r="J26" s="8" t="n">
        <v>0.83</v>
      </c>
      <c r="K26" s="7" t="n">
        <v>535</v>
      </c>
      <c r="L26" s="7" t="n">
        <v>405</v>
      </c>
      <c r="M26" s="8" t="n">
        <v>0.851</v>
      </c>
      <c r="N26" s="7" t="n">
        <v>475</v>
      </c>
      <c r="O26" s="7" t="n">
        <v>465</v>
      </c>
      <c r="P26" s="8" t="n">
        <v>0.908</v>
      </c>
      <c r="Q26" s="7" t="n">
        <v>510</v>
      </c>
      <c r="R26" s="7" t="n">
        <v>505</v>
      </c>
      <c r="S26" s="8" t="n">
        <v>0.869</v>
      </c>
      <c r="T26" s="7" t="n">
        <v>580</v>
      </c>
    </row>
    <row r="27" customFormat="false" ht="15" hidden="false" customHeight="false" outlineLevel="0" collapsed="false">
      <c r="A27" s="1" t="s">
        <v>211</v>
      </c>
      <c r="B27" s="1" t="s">
        <v>220</v>
      </c>
      <c r="C27" s="7" t="s">
        <v>35</v>
      </c>
      <c r="D27" s="8" t="s">
        <v>35</v>
      </c>
      <c r="E27" s="7" t="s">
        <v>35</v>
      </c>
      <c r="F27" s="7" t="s">
        <v>35</v>
      </c>
      <c r="G27" s="8" t="s">
        <v>35</v>
      </c>
      <c r="H27" s="7" t="s">
        <v>35</v>
      </c>
      <c r="I27" s="7" t="s">
        <v>35</v>
      </c>
      <c r="J27" s="8" t="s">
        <v>35</v>
      </c>
      <c r="K27" s="7" t="s">
        <v>35</v>
      </c>
      <c r="L27" s="7" t="s">
        <v>35</v>
      </c>
      <c r="M27" s="8" t="s">
        <v>35</v>
      </c>
      <c r="N27" s="7" t="s">
        <v>35</v>
      </c>
      <c r="O27" s="7" t="n">
        <v>255</v>
      </c>
      <c r="P27" s="8" t="n">
        <v>0.91</v>
      </c>
      <c r="Q27" s="7" t="n">
        <v>280</v>
      </c>
      <c r="R27" s="7" t="n">
        <v>555</v>
      </c>
      <c r="S27" s="8" t="n">
        <v>0.814</v>
      </c>
      <c r="T27" s="7" t="n">
        <v>680</v>
      </c>
    </row>
    <row r="28" customFormat="false" ht="15" hidden="false" customHeight="false" outlineLevel="0" collapsed="false">
      <c r="A28" s="1" t="s">
        <v>211</v>
      </c>
      <c r="B28" s="1" t="s">
        <v>221</v>
      </c>
      <c r="C28" s="7" t="n">
        <v>1800</v>
      </c>
      <c r="D28" s="8" t="n">
        <v>0.834</v>
      </c>
      <c r="E28" s="7" t="n">
        <v>2160</v>
      </c>
      <c r="F28" s="7" t="n">
        <v>1870</v>
      </c>
      <c r="G28" s="8" t="n">
        <v>0.826</v>
      </c>
      <c r="H28" s="7" t="n">
        <v>2265</v>
      </c>
      <c r="I28" s="7" t="n">
        <v>1695</v>
      </c>
      <c r="J28" s="8" t="n">
        <v>0.763</v>
      </c>
      <c r="K28" s="7" t="n">
        <v>2220</v>
      </c>
      <c r="L28" s="7" t="n">
        <v>1485</v>
      </c>
      <c r="M28" s="8" t="n">
        <v>0.782</v>
      </c>
      <c r="N28" s="7" t="n">
        <v>1895</v>
      </c>
      <c r="O28" s="7" t="n">
        <v>1285</v>
      </c>
      <c r="P28" s="8" t="n">
        <v>0.784</v>
      </c>
      <c r="Q28" s="7" t="n">
        <v>1640</v>
      </c>
      <c r="R28" s="7" t="n">
        <v>715</v>
      </c>
      <c r="S28" s="8" t="n">
        <v>0.849</v>
      </c>
      <c r="T28" s="7" t="n">
        <v>845</v>
      </c>
    </row>
    <row r="29" customFormat="false" ht="15" hidden="false" customHeight="false" outlineLevel="0" collapsed="false">
      <c r="A29" s="1" t="s">
        <v>211</v>
      </c>
      <c r="B29" s="1" t="s">
        <v>232</v>
      </c>
      <c r="C29" s="7" t="n">
        <v>425</v>
      </c>
      <c r="D29" s="8" t="n">
        <v>0.896</v>
      </c>
      <c r="E29" s="7" t="n">
        <v>475</v>
      </c>
      <c r="F29" s="7" t="n">
        <v>310</v>
      </c>
      <c r="G29" s="8" t="n">
        <v>0.896</v>
      </c>
      <c r="H29" s="7" t="n">
        <v>345</v>
      </c>
      <c r="I29" s="7" t="n">
        <v>245</v>
      </c>
      <c r="J29" s="8" t="n">
        <v>0.898</v>
      </c>
      <c r="K29" s="7" t="n">
        <v>275</v>
      </c>
      <c r="L29" s="7" t="n">
        <v>275</v>
      </c>
      <c r="M29" s="8" t="n">
        <v>0.961</v>
      </c>
      <c r="N29" s="7" t="n">
        <v>285</v>
      </c>
      <c r="O29" s="7" t="n">
        <v>220</v>
      </c>
      <c r="P29" s="8" t="n">
        <v>0.898</v>
      </c>
      <c r="Q29" s="7" t="n">
        <v>245</v>
      </c>
      <c r="R29" s="7" t="n">
        <v>180</v>
      </c>
      <c r="S29" s="8" t="n">
        <v>0.937</v>
      </c>
      <c r="T29" s="7" t="n">
        <v>190</v>
      </c>
    </row>
    <row r="30" customFormat="false" ht="15" hidden="false" customHeight="false" outlineLevel="0" collapsed="false">
      <c r="A30" s="1" t="s">
        <v>211</v>
      </c>
      <c r="B30" s="1" t="s">
        <v>222</v>
      </c>
      <c r="C30" s="7" t="n">
        <v>555</v>
      </c>
      <c r="D30" s="8" t="n">
        <v>0.831</v>
      </c>
      <c r="E30" s="7" t="n">
        <v>670</v>
      </c>
      <c r="F30" s="7" t="n">
        <v>480</v>
      </c>
      <c r="G30" s="8" t="n">
        <v>0.735</v>
      </c>
      <c r="H30" s="7" t="n">
        <v>655</v>
      </c>
      <c r="I30" s="7" t="n">
        <v>540</v>
      </c>
      <c r="J30" s="8" t="n">
        <v>0.839</v>
      </c>
      <c r="K30" s="7" t="n">
        <v>640</v>
      </c>
      <c r="L30" s="7" t="n">
        <v>355</v>
      </c>
      <c r="M30" s="8" t="n">
        <v>0.687</v>
      </c>
      <c r="N30" s="7" t="n">
        <v>515</v>
      </c>
      <c r="O30" s="7" t="n">
        <v>495</v>
      </c>
      <c r="P30" s="8" t="n">
        <v>0.836</v>
      </c>
      <c r="Q30" s="7" t="n">
        <v>590</v>
      </c>
      <c r="R30" s="7" t="n">
        <v>410</v>
      </c>
      <c r="S30" s="8" t="n">
        <v>0.77</v>
      </c>
      <c r="T30" s="7" t="n">
        <v>535</v>
      </c>
    </row>
    <row r="31" customFormat="false" ht="15" hidden="false" customHeight="false" outlineLevel="0" collapsed="false">
      <c r="A31" s="1" t="s">
        <v>211</v>
      </c>
      <c r="B31" s="1" t="s">
        <v>233</v>
      </c>
      <c r="C31" s="7" t="n">
        <v>35</v>
      </c>
      <c r="D31" s="8" t="n">
        <v>1</v>
      </c>
      <c r="E31" s="7" t="n">
        <v>35</v>
      </c>
      <c r="F31" s="7" t="n">
        <v>15</v>
      </c>
      <c r="G31" s="8" t="n">
        <v>1</v>
      </c>
      <c r="H31" s="7" t="n">
        <v>15</v>
      </c>
      <c r="I31" s="7" t="n">
        <v>20</v>
      </c>
      <c r="J31" s="8" t="n">
        <v>0.545</v>
      </c>
      <c r="K31" s="7" t="n">
        <v>35</v>
      </c>
      <c r="L31" s="7" t="n">
        <v>20</v>
      </c>
      <c r="M31" s="8" t="n">
        <v>1</v>
      </c>
      <c r="N31" s="7" t="n">
        <v>20</v>
      </c>
      <c r="O31" s="7" t="n">
        <v>10</v>
      </c>
      <c r="P31" s="8" t="n">
        <v>1</v>
      </c>
      <c r="Q31" s="7" t="n">
        <v>10</v>
      </c>
      <c r="R31" s="7" t="n">
        <v>40</v>
      </c>
      <c r="S31" s="8" t="n">
        <v>0.848</v>
      </c>
      <c r="T31" s="7" t="n">
        <v>45</v>
      </c>
    </row>
    <row r="32" customFormat="false" ht="15" hidden="false" customHeight="false" outlineLevel="0" collapsed="false">
      <c r="A32" s="1" t="s">
        <v>211</v>
      </c>
      <c r="B32" s="1" t="s">
        <v>223</v>
      </c>
      <c r="C32" s="7" t="n">
        <v>175</v>
      </c>
      <c r="D32" s="8" t="n">
        <v>0.817</v>
      </c>
      <c r="E32" s="7" t="n">
        <v>215</v>
      </c>
      <c r="F32" s="7" t="n">
        <v>195</v>
      </c>
      <c r="G32" s="8" t="n">
        <v>0.938</v>
      </c>
      <c r="H32" s="7" t="n">
        <v>210</v>
      </c>
      <c r="I32" s="7" t="n">
        <v>180</v>
      </c>
      <c r="J32" s="8" t="n">
        <v>0.791</v>
      </c>
      <c r="K32" s="7" t="n">
        <v>230</v>
      </c>
      <c r="L32" s="7" t="n">
        <v>145</v>
      </c>
      <c r="M32" s="8" t="n">
        <v>0.664</v>
      </c>
      <c r="N32" s="7" t="n">
        <v>220</v>
      </c>
      <c r="O32" s="7" t="n">
        <v>210</v>
      </c>
      <c r="P32" s="8" t="n">
        <v>0.922</v>
      </c>
      <c r="Q32" s="7" t="n">
        <v>230</v>
      </c>
      <c r="R32" s="7" t="n">
        <v>160</v>
      </c>
      <c r="S32" s="8" t="n">
        <v>0.883</v>
      </c>
      <c r="T32" s="7" t="n">
        <v>180</v>
      </c>
    </row>
    <row r="33" customFormat="false" ht="15" hidden="false" customHeight="false" outlineLevel="0" collapsed="false">
      <c r="A33" s="1" t="s">
        <v>211</v>
      </c>
      <c r="B33" s="1" t="s">
        <v>224</v>
      </c>
      <c r="C33" s="7" t="n">
        <v>1345</v>
      </c>
      <c r="D33" s="8" t="n">
        <v>0.865</v>
      </c>
      <c r="E33" s="7" t="n">
        <v>1555</v>
      </c>
      <c r="F33" s="7" t="n">
        <v>995</v>
      </c>
      <c r="G33" s="8" t="n">
        <v>0.818</v>
      </c>
      <c r="H33" s="7" t="n">
        <v>1215</v>
      </c>
      <c r="I33" s="7" t="n">
        <v>980</v>
      </c>
      <c r="J33" s="8" t="n">
        <v>0.806</v>
      </c>
      <c r="K33" s="7" t="n">
        <v>1215</v>
      </c>
      <c r="L33" s="7" t="n">
        <v>885</v>
      </c>
      <c r="M33" s="8" t="n">
        <v>0.867</v>
      </c>
      <c r="N33" s="7" t="n">
        <v>1025</v>
      </c>
      <c r="O33" s="7" t="n">
        <v>630</v>
      </c>
      <c r="P33" s="8" t="n">
        <v>0.884</v>
      </c>
      <c r="Q33" s="7" t="n">
        <v>715</v>
      </c>
      <c r="R33" s="7" t="n">
        <v>380</v>
      </c>
      <c r="S33" s="8" t="n">
        <v>0.786</v>
      </c>
      <c r="T33" s="7" t="n">
        <v>485</v>
      </c>
    </row>
    <row r="34" customFormat="false" ht="15" hidden="false" customHeight="false" outlineLevel="0" collapsed="false">
      <c r="A34" s="1" t="s">
        <v>211</v>
      </c>
      <c r="B34" s="1" t="s">
        <v>225</v>
      </c>
      <c r="C34" s="7" t="n">
        <v>835</v>
      </c>
      <c r="D34" s="8" t="n">
        <v>0.858</v>
      </c>
      <c r="E34" s="7" t="n">
        <v>975</v>
      </c>
      <c r="F34" s="7" t="n">
        <v>615</v>
      </c>
      <c r="G34" s="8" t="n">
        <v>0.84</v>
      </c>
      <c r="H34" s="7" t="n">
        <v>735</v>
      </c>
      <c r="I34" s="7" t="n">
        <v>370</v>
      </c>
      <c r="J34" s="8" t="n">
        <v>0.817</v>
      </c>
      <c r="K34" s="7" t="n">
        <v>455</v>
      </c>
      <c r="L34" s="7" t="n">
        <v>340</v>
      </c>
      <c r="M34" s="8" t="n">
        <v>0.799</v>
      </c>
      <c r="N34" s="7" t="n">
        <v>425</v>
      </c>
      <c r="O34" s="7" t="n">
        <v>335</v>
      </c>
      <c r="P34" s="8" t="n">
        <v>0.886</v>
      </c>
      <c r="Q34" s="7" t="n">
        <v>375</v>
      </c>
      <c r="R34" s="7" t="n">
        <v>240</v>
      </c>
      <c r="S34" s="8" t="n">
        <v>0.831</v>
      </c>
      <c r="T34" s="7" t="n">
        <v>290</v>
      </c>
    </row>
    <row r="35" customFormat="false" ht="15" hidden="false" customHeight="false" outlineLevel="0" collapsed="false">
      <c r="A35" s="1" t="s">
        <v>211</v>
      </c>
      <c r="B35" s="1" t="s">
        <v>234</v>
      </c>
      <c r="C35" s="7" t="n">
        <v>1400</v>
      </c>
      <c r="D35" s="8" t="n">
        <v>0.872</v>
      </c>
      <c r="E35" s="7" t="n">
        <v>1605</v>
      </c>
      <c r="F35" s="7" t="n">
        <v>1245</v>
      </c>
      <c r="G35" s="8" t="n">
        <v>0.801</v>
      </c>
      <c r="H35" s="7" t="n">
        <v>1555</v>
      </c>
      <c r="I35" s="7" t="n">
        <v>925</v>
      </c>
      <c r="J35" s="8" t="n">
        <v>0.782</v>
      </c>
      <c r="K35" s="7" t="n">
        <v>1185</v>
      </c>
      <c r="L35" s="7" t="n">
        <v>835</v>
      </c>
      <c r="M35" s="8" t="n">
        <v>0.727</v>
      </c>
      <c r="N35" s="7" t="n">
        <v>1145</v>
      </c>
      <c r="O35" s="7" t="n">
        <v>1040</v>
      </c>
      <c r="P35" s="8" t="n">
        <v>0.872</v>
      </c>
      <c r="Q35" s="7" t="n">
        <v>1190</v>
      </c>
      <c r="R35" s="7" t="n">
        <v>650</v>
      </c>
      <c r="S35" s="8" t="n">
        <v>0.883</v>
      </c>
      <c r="T35" s="7" t="n">
        <v>740</v>
      </c>
    </row>
    <row r="36" customFormat="false" ht="15" hidden="false" customHeight="false" outlineLevel="0" collapsed="false">
      <c r="A36" s="1" t="s">
        <v>211</v>
      </c>
      <c r="B36" s="1" t="s">
        <v>235</v>
      </c>
      <c r="C36" s="7" t="n">
        <v>110</v>
      </c>
      <c r="D36" s="8" t="n">
        <v>0.878</v>
      </c>
      <c r="E36" s="7" t="n">
        <v>125</v>
      </c>
      <c r="F36" s="7" t="n">
        <v>95</v>
      </c>
      <c r="G36" s="8" t="n">
        <v>0.826</v>
      </c>
      <c r="H36" s="7" t="n">
        <v>115</v>
      </c>
      <c r="I36" s="7" t="n">
        <v>90</v>
      </c>
      <c r="J36" s="8" t="n">
        <v>0.91</v>
      </c>
      <c r="K36" s="7" t="n">
        <v>100</v>
      </c>
      <c r="L36" s="7" t="n">
        <v>55</v>
      </c>
      <c r="M36" s="8" t="n">
        <v>0.577</v>
      </c>
      <c r="N36" s="7" t="n">
        <v>95</v>
      </c>
      <c r="O36" s="7" t="n">
        <v>95</v>
      </c>
      <c r="P36" s="8" t="n">
        <v>0.833</v>
      </c>
      <c r="Q36" s="7" t="n">
        <v>115</v>
      </c>
      <c r="R36" s="7" t="n">
        <v>105</v>
      </c>
      <c r="S36" s="8" t="n">
        <v>0.841</v>
      </c>
      <c r="T36" s="7" t="n">
        <v>125</v>
      </c>
    </row>
    <row r="37" customFormat="false" ht="15" hidden="false" customHeight="false" outlineLevel="0" collapsed="false">
      <c r="A37" s="1" t="s">
        <v>211</v>
      </c>
      <c r="B37" s="1" t="s">
        <v>236</v>
      </c>
      <c r="C37" s="7" t="n">
        <v>450</v>
      </c>
      <c r="D37" s="8" t="n">
        <v>0.881</v>
      </c>
      <c r="E37" s="7" t="n">
        <v>510</v>
      </c>
      <c r="F37" s="7" t="n">
        <v>295</v>
      </c>
      <c r="G37" s="8" t="n">
        <v>0.875</v>
      </c>
      <c r="H37" s="7" t="n">
        <v>335</v>
      </c>
      <c r="I37" s="7" t="n">
        <v>225</v>
      </c>
      <c r="J37" s="8" t="n">
        <v>0.882</v>
      </c>
      <c r="K37" s="7" t="n">
        <v>255</v>
      </c>
      <c r="L37" s="7" t="n">
        <v>315</v>
      </c>
      <c r="M37" s="8" t="n">
        <v>0.852</v>
      </c>
      <c r="N37" s="7" t="n">
        <v>370</v>
      </c>
      <c r="O37" s="7" t="n">
        <v>210</v>
      </c>
      <c r="P37" s="8" t="n">
        <v>0.848</v>
      </c>
      <c r="Q37" s="7" t="n">
        <v>250</v>
      </c>
      <c r="R37" s="7" t="n">
        <v>225</v>
      </c>
      <c r="S37" s="8" t="n">
        <v>0.93</v>
      </c>
      <c r="T37" s="7" t="n">
        <v>240</v>
      </c>
    </row>
    <row r="38" customFormat="false" ht="15" hidden="false" customHeight="false" outlineLevel="0" collapsed="false">
      <c r="A38" s="1" t="s">
        <v>211</v>
      </c>
      <c r="B38" s="1" t="s">
        <v>228</v>
      </c>
      <c r="C38" s="7" t="n">
        <v>1735</v>
      </c>
      <c r="D38" s="8" t="n">
        <v>0.893</v>
      </c>
      <c r="E38" s="7" t="n">
        <v>1940</v>
      </c>
      <c r="F38" s="7" t="n">
        <v>1660</v>
      </c>
      <c r="G38" s="8" t="n">
        <v>0.895</v>
      </c>
      <c r="H38" s="7" t="n">
        <v>1855</v>
      </c>
      <c r="I38" s="7" t="n">
        <v>1225</v>
      </c>
      <c r="J38" s="8" t="n">
        <v>0.838</v>
      </c>
      <c r="K38" s="7" t="n">
        <v>1460</v>
      </c>
      <c r="L38" s="7" t="n">
        <v>1245</v>
      </c>
      <c r="M38" s="8" t="n">
        <v>0.825</v>
      </c>
      <c r="N38" s="7" t="n">
        <v>1505</v>
      </c>
      <c r="O38" s="7" t="n">
        <v>1255</v>
      </c>
      <c r="P38" s="8" t="n">
        <v>0.906</v>
      </c>
      <c r="Q38" s="7" t="n">
        <v>1390</v>
      </c>
      <c r="R38" s="7" t="n">
        <v>835</v>
      </c>
      <c r="S38" s="8" t="n">
        <v>0.839</v>
      </c>
      <c r="T38" s="7" t="n">
        <v>995</v>
      </c>
    </row>
    <row r="39" customFormat="false" ht="15" hidden="false" customHeight="false" outlineLevel="0" collapsed="false">
      <c r="A39" s="1" t="s">
        <v>211</v>
      </c>
      <c r="B39" s="1" t="s">
        <v>237</v>
      </c>
      <c r="C39" s="7" t="s">
        <v>33</v>
      </c>
      <c r="D39" s="8" t="s">
        <v>33</v>
      </c>
      <c r="E39" s="7" t="s">
        <v>33</v>
      </c>
      <c r="F39" s="7" t="n">
        <v>0</v>
      </c>
      <c r="G39" s="8" t="n">
        <v>0</v>
      </c>
      <c r="H39" s="7" t="s">
        <v>33</v>
      </c>
      <c r="I39" s="7" t="s">
        <v>35</v>
      </c>
      <c r="J39" s="8" t="s">
        <v>35</v>
      </c>
      <c r="K39" s="7" t="n">
        <v>0</v>
      </c>
      <c r="L39" s="7" t="s">
        <v>35</v>
      </c>
      <c r="M39" s="8" t="s">
        <v>35</v>
      </c>
      <c r="N39" s="7" t="n">
        <v>0</v>
      </c>
      <c r="O39" s="7" t="s">
        <v>35</v>
      </c>
      <c r="P39" s="8" t="s">
        <v>35</v>
      </c>
      <c r="Q39" s="7" t="n">
        <v>0</v>
      </c>
      <c r="R39" s="7" t="s">
        <v>35</v>
      </c>
      <c r="S39" s="8" t="s">
        <v>35</v>
      </c>
      <c r="T39" s="7" t="n">
        <v>0</v>
      </c>
    </row>
    <row r="40" customFormat="false" ht="15" hidden="false" customHeight="false" outlineLevel="0" collapsed="false">
      <c r="A40" s="1" t="s">
        <v>211</v>
      </c>
      <c r="B40" s="1" t="s">
        <v>229</v>
      </c>
      <c r="C40" s="7" t="n">
        <v>2350</v>
      </c>
      <c r="D40" s="8" t="n">
        <v>0.803</v>
      </c>
      <c r="E40" s="7" t="n">
        <v>2925</v>
      </c>
      <c r="F40" s="7" t="n">
        <v>1980</v>
      </c>
      <c r="G40" s="8" t="n">
        <v>0.804</v>
      </c>
      <c r="H40" s="7" t="n">
        <v>2465</v>
      </c>
      <c r="I40" s="7" t="n">
        <v>1675</v>
      </c>
      <c r="J40" s="8" t="n">
        <v>0.78</v>
      </c>
      <c r="K40" s="7" t="n">
        <v>2145</v>
      </c>
      <c r="L40" s="7" t="n">
        <v>1715</v>
      </c>
      <c r="M40" s="8" t="n">
        <v>0.808</v>
      </c>
      <c r="N40" s="7" t="n">
        <v>2125</v>
      </c>
      <c r="O40" s="7" t="n">
        <v>1865</v>
      </c>
      <c r="P40" s="8" t="n">
        <v>0.873</v>
      </c>
      <c r="Q40" s="7" t="n">
        <v>2140</v>
      </c>
      <c r="R40" s="7" t="n">
        <v>1225</v>
      </c>
      <c r="S40" s="8" t="n">
        <v>0.8</v>
      </c>
      <c r="T40" s="7" t="n">
        <v>1535</v>
      </c>
    </row>
    <row r="41" customFormat="false" ht="15" hidden="false" customHeight="false" outlineLevel="0" collapsed="false">
      <c r="A41" s="1" t="s">
        <v>213</v>
      </c>
      <c r="B41" s="1" t="s">
        <v>238</v>
      </c>
      <c r="C41" s="7" t="n">
        <v>25</v>
      </c>
      <c r="D41" s="8" t="n">
        <v>1</v>
      </c>
      <c r="E41" s="7" t="n">
        <v>25</v>
      </c>
      <c r="F41" s="7" t="n">
        <v>35</v>
      </c>
      <c r="G41" s="8" t="n">
        <v>0.946</v>
      </c>
      <c r="H41" s="7" t="n">
        <v>35</v>
      </c>
      <c r="I41" s="7" t="n">
        <v>30</v>
      </c>
      <c r="J41" s="8" t="n">
        <v>0.714</v>
      </c>
      <c r="K41" s="7" t="n">
        <v>40</v>
      </c>
      <c r="L41" s="7" t="n">
        <v>45</v>
      </c>
      <c r="M41" s="8" t="n">
        <v>0.843</v>
      </c>
      <c r="N41" s="7" t="n">
        <v>50</v>
      </c>
      <c r="O41" s="7" t="n">
        <v>70</v>
      </c>
      <c r="P41" s="8" t="n">
        <v>0.625</v>
      </c>
      <c r="Q41" s="7" t="n">
        <v>110</v>
      </c>
      <c r="R41" s="7" t="n">
        <v>50</v>
      </c>
      <c r="S41" s="8" t="n">
        <v>0.817</v>
      </c>
      <c r="T41" s="7" t="n">
        <v>60</v>
      </c>
    </row>
    <row r="42" customFormat="false" ht="15" hidden="false" customHeight="false" outlineLevel="0" collapsed="false">
      <c r="A42" s="1" t="s">
        <v>213</v>
      </c>
      <c r="B42" s="1" t="s">
        <v>239</v>
      </c>
      <c r="C42" s="7" t="n">
        <v>205</v>
      </c>
      <c r="D42" s="8" t="n">
        <v>0.58</v>
      </c>
      <c r="E42" s="7" t="n">
        <v>350</v>
      </c>
      <c r="F42" s="7" t="n">
        <v>130</v>
      </c>
      <c r="G42" s="8" t="n">
        <v>0.725</v>
      </c>
      <c r="H42" s="7" t="n">
        <v>180</v>
      </c>
      <c r="I42" s="7" t="n">
        <v>125</v>
      </c>
      <c r="J42" s="8" t="n">
        <v>0.716</v>
      </c>
      <c r="K42" s="7" t="n">
        <v>175</v>
      </c>
      <c r="L42" s="7" t="n">
        <v>155</v>
      </c>
      <c r="M42" s="8" t="n">
        <v>0.801</v>
      </c>
      <c r="N42" s="7" t="n">
        <v>195</v>
      </c>
      <c r="O42" s="7" t="n">
        <v>100</v>
      </c>
      <c r="P42" s="8" t="n">
        <v>0.909</v>
      </c>
      <c r="Q42" s="7" t="n">
        <v>110</v>
      </c>
      <c r="R42" s="7" t="n">
        <v>110</v>
      </c>
      <c r="S42" s="8" t="n">
        <v>0.771</v>
      </c>
      <c r="T42" s="7" t="n">
        <v>145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45 A1"/>
    </sheetView>
  </sheetViews>
  <sheetFormatPr defaultColWidth="11.078125" defaultRowHeight="15" zeroHeight="false" outlineLevelRow="0" outlineLevelCol="0"/>
  <cols>
    <col collapsed="false" customWidth="true" hidden="false" outlineLevel="0" max="1" min="1" style="1" width="6.69"/>
    <col collapsed="false" customWidth="true" hidden="false" outlineLevel="0" max="2" min="2" style="1" width="52.69"/>
    <col collapsed="false" customWidth="true" hidden="false" outlineLevel="0" max="8" min="3" style="1" width="19.69"/>
  </cols>
  <sheetData>
    <row r="1" customFormat="false" ht="30" hidden="false" customHeight="true" outlineLevel="0" collapsed="false">
      <c r="A1" s="2" t="s">
        <v>240</v>
      </c>
    </row>
    <row r="2" customFormat="false" ht="15" hidden="false" customHeight="false" outlineLevel="0" collapsed="false">
      <c r="A2" s="1" t="s">
        <v>7</v>
      </c>
    </row>
    <row r="3" customFormat="false" ht="15" hidden="false" customHeight="false" outlineLevel="0" collapsed="false">
      <c r="A3" s="1" t="s">
        <v>241</v>
      </c>
    </row>
    <row r="4" customFormat="false" ht="15" hidden="false" customHeight="false" outlineLevel="0" collapsed="false">
      <c r="A4" s="6" t="s">
        <v>206</v>
      </c>
      <c r="B4" s="6" t="s">
        <v>9</v>
      </c>
      <c r="C4" s="6" t="s">
        <v>10</v>
      </c>
      <c r="D4" s="6" t="s">
        <v>13</v>
      </c>
      <c r="E4" s="6" t="s">
        <v>16</v>
      </c>
      <c r="F4" s="6" t="s">
        <v>19</v>
      </c>
      <c r="G4" s="6" t="s">
        <v>22</v>
      </c>
      <c r="H4" s="6" t="s">
        <v>25</v>
      </c>
    </row>
    <row r="5" customFormat="false" ht="15" hidden="false" customHeight="false" outlineLevel="0" collapsed="false">
      <c r="A5" s="1" t="s">
        <v>242</v>
      </c>
      <c r="B5" s="1" t="s">
        <v>243</v>
      </c>
      <c r="C5" s="7" t="n">
        <v>335</v>
      </c>
      <c r="D5" s="7" t="n">
        <v>290</v>
      </c>
      <c r="E5" s="7" t="n">
        <v>220</v>
      </c>
      <c r="F5" s="7" t="n">
        <v>115</v>
      </c>
      <c r="G5" s="7" t="n">
        <v>400</v>
      </c>
      <c r="H5" s="7" t="n">
        <v>440</v>
      </c>
    </row>
    <row r="6" customFormat="false" ht="15" hidden="false" customHeight="false" outlineLevel="0" collapsed="false">
      <c r="A6" s="1" t="s">
        <v>244</v>
      </c>
      <c r="B6" s="1" t="s">
        <v>245</v>
      </c>
      <c r="C6" s="7" t="n">
        <v>970</v>
      </c>
      <c r="D6" s="7" t="n">
        <v>515</v>
      </c>
      <c r="E6" s="7" t="n">
        <v>625</v>
      </c>
      <c r="F6" s="7" t="n">
        <v>710</v>
      </c>
      <c r="G6" s="7" t="n">
        <v>910</v>
      </c>
      <c r="H6" s="7" t="n">
        <v>1005</v>
      </c>
    </row>
    <row r="7" customFormat="false" ht="15" hidden="false" customHeight="false" outlineLevel="0" collapsed="false">
      <c r="A7" s="1" t="s">
        <v>207</v>
      </c>
      <c r="B7" s="1" t="s">
        <v>208</v>
      </c>
      <c r="C7" s="7" t="n">
        <v>3635</v>
      </c>
      <c r="D7" s="7" t="n">
        <v>2830</v>
      </c>
      <c r="E7" s="7" t="n">
        <v>3480</v>
      </c>
      <c r="F7" s="7" t="n">
        <v>3360</v>
      </c>
      <c r="G7" s="7" t="n">
        <v>4255</v>
      </c>
      <c r="H7" s="7" t="n">
        <v>4430</v>
      </c>
    </row>
    <row r="8" customFormat="false" ht="15" hidden="false" customHeight="false" outlineLevel="0" collapsed="false">
      <c r="A8" s="1" t="s">
        <v>209</v>
      </c>
      <c r="B8" s="1" t="s">
        <v>210</v>
      </c>
      <c r="C8" s="7" t="n">
        <v>13320</v>
      </c>
      <c r="D8" s="7" t="n">
        <v>10740</v>
      </c>
      <c r="E8" s="7" t="n">
        <v>9660</v>
      </c>
      <c r="F8" s="7" t="n">
        <v>9490</v>
      </c>
      <c r="G8" s="7" t="n">
        <v>11735</v>
      </c>
      <c r="H8" s="7" t="n">
        <v>10290</v>
      </c>
    </row>
    <row r="9" customFormat="false" ht="15" hidden="false" customHeight="false" outlineLevel="0" collapsed="false">
      <c r="A9" s="1" t="s">
        <v>211</v>
      </c>
      <c r="B9" s="1" t="s">
        <v>212</v>
      </c>
      <c r="C9" s="7" t="n">
        <v>14230</v>
      </c>
      <c r="D9" s="7" t="n">
        <v>11210</v>
      </c>
      <c r="E9" s="7" t="n">
        <v>9605</v>
      </c>
      <c r="F9" s="7" t="n">
        <v>7200</v>
      </c>
      <c r="G9" s="7" t="n">
        <v>8230</v>
      </c>
      <c r="H9" s="7" t="n">
        <v>5185</v>
      </c>
    </row>
    <row r="10" customFormat="false" ht="15" hidden="false" customHeight="false" outlineLevel="0" collapsed="false">
      <c r="A10" s="1" t="s">
        <v>213</v>
      </c>
      <c r="B10" s="1" t="s">
        <v>214</v>
      </c>
      <c r="C10" s="7" t="n">
        <v>8585</v>
      </c>
      <c r="D10" s="7" t="n">
        <v>7105</v>
      </c>
      <c r="E10" s="7" t="n">
        <v>5865</v>
      </c>
      <c r="F10" s="7" t="n">
        <v>5675</v>
      </c>
      <c r="G10" s="7" t="n">
        <v>5895</v>
      </c>
      <c r="H10" s="7" t="n">
        <v>5390</v>
      </c>
    </row>
    <row r="11" customFormat="false" ht="15" hidden="false" customHeight="false" outlineLevel="0" collapsed="false">
      <c r="A11" s="1" t="s">
        <v>246</v>
      </c>
      <c r="B11" s="1" t="s">
        <v>247</v>
      </c>
      <c r="C11" s="7" t="n">
        <v>15</v>
      </c>
      <c r="D11" s="7" t="n">
        <v>0</v>
      </c>
      <c r="E11" s="7" t="s">
        <v>35</v>
      </c>
      <c r="F11" s="7" t="s">
        <v>35</v>
      </c>
      <c r="G11" s="7" t="s">
        <v>35</v>
      </c>
      <c r="H11" s="7" t="s">
        <v>35</v>
      </c>
    </row>
    <row r="12" customFormat="false" ht="15" hidden="false" customHeight="false" outlineLevel="0" collapsed="false">
      <c r="A12" s="9" t="s">
        <v>242</v>
      </c>
      <c r="B12" s="9" t="s">
        <v>248</v>
      </c>
      <c r="C12" s="10" t="n">
        <v>55</v>
      </c>
      <c r="D12" s="10" t="n">
        <v>45</v>
      </c>
      <c r="E12" s="10" t="n">
        <v>15</v>
      </c>
      <c r="F12" s="10" t="s">
        <v>35</v>
      </c>
      <c r="G12" s="10" t="s">
        <v>35</v>
      </c>
      <c r="H12" s="10" t="s">
        <v>35</v>
      </c>
    </row>
    <row r="13" customFormat="false" ht="15" hidden="false" customHeight="false" outlineLevel="0" collapsed="false">
      <c r="A13" s="1" t="s">
        <v>242</v>
      </c>
      <c r="B13" s="1" t="s">
        <v>249</v>
      </c>
      <c r="C13" s="7" t="n">
        <v>40</v>
      </c>
      <c r="D13" s="7" t="n">
        <v>30</v>
      </c>
      <c r="E13" s="7" t="n">
        <v>10</v>
      </c>
      <c r="F13" s="7" t="s">
        <v>35</v>
      </c>
      <c r="G13" s="7" t="s">
        <v>35</v>
      </c>
      <c r="H13" s="7" t="s">
        <v>35</v>
      </c>
    </row>
    <row r="14" customFormat="false" ht="15" hidden="false" customHeight="false" outlineLevel="0" collapsed="false">
      <c r="A14" s="1" t="s">
        <v>242</v>
      </c>
      <c r="B14" s="1" t="s">
        <v>250</v>
      </c>
      <c r="C14" s="7" t="n">
        <v>25</v>
      </c>
      <c r="D14" s="7" t="n">
        <v>20</v>
      </c>
      <c r="E14" s="7" t="s">
        <v>33</v>
      </c>
      <c r="F14" s="7" t="s">
        <v>35</v>
      </c>
      <c r="G14" s="7" t="s">
        <v>35</v>
      </c>
      <c r="H14" s="7" t="s">
        <v>35</v>
      </c>
    </row>
    <row r="15" customFormat="false" ht="15" hidden="false" customHeight="false" outlineLevel="0" collapsed="false">
      <c r="A15" s="1" t="s">
        <v>242</v>
      </c>
      <c r="B15" s="1" t="s">
        <v>251</v>
      </c>
      <c r="C15" s="7" t="n">
        <v>20</v>
      </c>
      <c r="D15" s="7" t="n">
        <v>20</v>
      </c>
      <c r="E15" s="7" t="n">
        <v>50</v>
      </c>
      <c r="F15" s="7" t="n">
        <v>20</v>
      </c>
      <c r="G15" s="7" t="n">
        <v>45</v>
      </c>
      <c r="H15" s="7" t="n">
        <v>15</v>
      </c>
    </row>
    <row r="16" customFormat="false" ht="15" hidden="false" customHeight="false" outlineLevel="0" collapsed="false">
      <c r="A16" s="1" t="s">
        <v>242</v>
      </c>
      <c r="B16" s="1" t="s">
        <v>252</v>
      </c>
      <c r="C16" s="7" t="n">
        <v>110</v>
      </c>
      <c r="D16" s="7" t="n">
        <v>105</v>
      </c>
      <c r="E16" s="7" t="n">
        <v>65</v>
      </c>
      <c r="F16" s="7" t="n">
        <v>55</v>
      </c>
      <c r="G16" s="7" t="n">
        <v>55</v>
      </c>
      <c r="H16" s="7" t="n">
        <v>80</v>
      </c>
    </row>
    <row r="17" customFormat="false" ht="15" hidden="false" customHeight="false" outlineLevel="0" collapsed="false">
      <c r="A17" s="1" t="s">
        <v>242</v>
      </c>
      <c r="B17" s="1" t="s">
        <v>253</v>
      </c>
      <c r="C17" s="7" t="n">
        <v>20</v>
      </c>
      <c r="D17" s="7" t="n">
        <v>25</v>
      </c>
      <c r="E17" s="7" t="n">
        <v>55</v>
      </c>
      <c r="F17" s="7" t="n">
        <v>15</v>
      </c>
      <c r="G17" s="7" t="n">
        <v>280</v>
      </c>
      <c r="H17" s="7" t="n">
        <v>275</v>
      </c>
    </row>
    <row r="18" customFormat="false" ht="15" hidden="false" customHeight="false" outlineLevel="0" collapsed="false">
      <c r="A18" s="1" t="s">
        <v>242</v>
      </c>
      <c r="B18" s="1" t="s">
        <v>254</v>
      </c>
      <c r="C18" s="7" t="n">
        <v>60</v>
      </c>
      <c r="D18" s="7" t="n">
        <v>45</v>
      </c>
      <c r="E18" s="7" t="n">
        <v>25</v>
      </c>
      <c r="F18" s="7" t="n">
        <v>25</v>
      </c>
      <c r="G18" s="7" t="n">
        <v>20</v>
      </c>
      <c r="H18" s="7" t="n">
        <v>65</v>
      </c>
    </row>
    <row r="19" customFormat="false" ht="15" hidden="false" customHeight="false" outlineLevel="0" collapsed="false">
      <c r="A19" s="1" t="s">
        <v>244</v>
      </c>
      <c r="B19" s="1" t="s">
        <v>251</v>
      </c>
      <c r="C19" s="7" t="n">
        <v>100</v>
      </c>
      <c r="D19" s="7" t="n">
        <v>45</v>
      </c>
      <c r="E19" s="7" t="n">
        <v>45</v>
      </c>
      <c r="F19" s="7" t="n">
        <v>45</v>
      </c>
      <c r="G19" s="7" t="n">
        <v>50</v>
      </c>
      <c r="H19" s="7" t="n">
        <v>10</v>
      </c>
    </row>
    <row r="20" customFormat="false" ht="15" hidden="false" customHeight="false" outlineLevel="0" collapsed="false">
      <c r="A20" s="1" t="s">
        <v>244</v>
      </c>
      <c r="B20" s="1" t="s">
        <v>252</v>
      </c>
      <c r="C20" s="7" t="n">
        <v>180</v>
      </c>
      <c r="D20" s="7" t="n">
        <v>165</v>
      </c>
      <c r="E20" s="7" t="n">
        <v>160</v>
      </c>
      <c r="F20" s="7" t="n">
        <v>200</v>
      </c>
      <c r="G20" s="7" t="n">
        <v>225</v>
      </c>
      <c r="H20" s="7" t="n">
        <v>245</v>
      </c>
    </row>
    <row r="21" customFormat="false" ht="15" hidden="false" customHeight="false" outlineLevel="0" collapsed="false">
      <c r="A21" s="1" t="s">
        <v>244</v>
      </c>
      <c r="B21" s="1" t="s">
        <v>253</v>
      </c>
      <c r="C21" s="7" t="n">
        <v>85</v>
      </c>
      <c r="D21" s="7" t="n">
        <v>50</v>
      </c>
      <c r="E21" s="7" t="n">
        <v>130</v>
      </c>
      <c r="F21" s="7" t="n">
        <v>110</v>
      </c>
      <c r="G21" s="7" t="n">
        <v>120</v>
      </c>
      <c r="H21" s="7" t="n">
        <v>165</v>
      </c>
    </row>
    <row r="22" customFormat="false" ht="15" hidden="false" customHeight="false" outlineLevel="0" collapsed="false">
      <c r="A22" s="1" t="s">
        <v>244</v>
      </c>
      <c r="B22" s="1" t="s">
        <v>254</v>
      </c>
      <c r="C22" s="7" t="n">
        <v>75</v>
      </c>
      <c r="D22" s="7" t="n">
        <v>75</v>
      </c>
      <c r="E22" s="7" t="n">
        <v>90</v>
      </c>
      <c r="F22" s="7" t="n">
        <v>175</v>
      </c>
      <c r="G22" s="7" t="n">
        <v>200</v>
      </c>
      <c r="H22" s="7" t="n">
        <v>140</v>
      </c>
    </row>
    <row r="23" customFormat="false" ht="15" hidden="false" customHeight="false" outlineLevel="0" collapsed="false">
      <c r="A23" s="1" t="s">
        <v>244</v>
      </c>
      <c r="B23" s="1" t="s">
        <v>255</v>
      </c>
      <c r="C23" s="7" t="n">
        <v>115</v>
      </c>
      <c r="D23" s="7" t="n">
        <v>90</v>
      </c>
      <c r="E23" s="7" t="n">
        <v>115</v>
      </c>
      <c r="F23" s="7" t="n">
        <v>135</v>
      </c>
      <c r="G23" s="7" t="n">
        <v>260</v>
      </c>
      <c r="H23" s="7" t="n">
        <v>225</v>
      </c>
    </row>
    <row r="24" customFormat="false" ht="15" hidden="false" customHeight="false" outlineLevel="0" collapsed="false">
      <c r="A24" s="1" t="s">
        <v>244</v>
      </c>
      <c r="B24" s="1" t="s">
        <v>256</v>
      </c>
      <c r="C24" s="7" t="n">
        <v>370</v>
      </c>
      <c r="D24" s="7" t="n">
        <v>35</v>
      </c>
      <c r="E24" s="7" t="n">
        <v>55</v>
      </c>
      <c r="F24" s="7" t="n">
        <v>20</v>
      </c>
      <c r="G24" s="7" t="n">
        <v>15</v>
      </c>
      <c r="H24" s="7" t="n">
        <v>200</v>
      </c>
    </row>
    <row r="25" customFormat="false" ht="15" hidden="false" customHeight="false" outlineLevel="0" collapsed="false">
      <c r="A25" s="1" t="s">
        <v>244</v>
      </c>
      <c r="B25" s="1" t="s">
        <v>257</v>
      </c>
      <c r="C25" s="7" t="n">
        <v>40</v>
      </c>
      <c r="D25" s="7" t="n">
        <v>55</v>
      </c>
      <c r="E25" s="7" t="n">
        <v>30</v>
      </c>
      <c r="F25" s="7" t="n">
        <v>25</v>
      </c>
      <c r="G25" s="7" t="n">
        <v>40</v>
      </c>
      <c r="H25" s="7" t="n">
        <v>15</v>
      </c>
    </row>
    <row r="26" customFormat="false" ht="15" hidden="false" customHeight="false" outlineLevel="0" collapsed="false">
      <c r="A26" s="1" t="s">
        <v>207</v>
      </c>
      <c r="B26" s="1" t="s">
        <v>258</v>
      </c>
      <c r="C26" s="7" t="n">
        <v>150</v>
      </c>
      <c r="D26" s="7" t="n">
        <v>70</v>
      </c>
      <c r="E26" s="7" t="n">
        <v>160</v>
      </c>
      <c r="F26" s="7" t="n">
        <v>95</v>
      </c>
      <c r="G26" s="7" t="n">
        <v>130</v>
      </c>
      <c r="H26" s="7" t="n">
        <v>175</v>
      </c>
    </row>
    <row r="27" customFormat="false" ht="15" hidden="false" customHeight="false" outlineLevel="0" collapsed="false">
      <c r="A27" s="1" t="s">
        <v>207</v>
      </c>
      <c r="B27" s="1" t="s">
        <v>259</v>
      </c>
      <c r="C27" s="7" t="n">
        <v>90</v>
      </c>
      <c r="D27" s="7" t="n">
        <v>135</v>
      </c>
      <c r="E27" s="7" t="n">
        <v>40</v>
      </c>
      <c r="F27" s="7" t="n">
        <v>65</v>
      </c>
      <c r="G27" s="7" t="n">
        <v>60</v>
      </c>
      <c r="H27" s="7" t="n">
        <v>130</v>
      </c>
    </row>
    <row r="28" customFormat="false" ht="15" hidden="false" customHeight="false" outlineLevel="0" collapsed="false">
      <c r="A28" s="1" t="s">
        <v>207</v>
      </c>
      <c r="B28" s="1" t="s">
        <v>260</v>
      </c>
      <c r="C28" s="7" t="n">
        <v>50</v>
      </c>
      <c r="D28" s="7" t="n">
        <v>60</v>
      </c>
      <c r="E28" s="7" t="n">
        <v>65</v>
      </c>
      <c r="F28" s="7" t="n">
        <v>15</v>
      </c>
      <c r="G28" s="7" t="n">
        <v>10</v>
      </c>
      <c r="H28" s="7" t="n">
        <v>0</v>
      </c>
    </row>
    <row r="29" customFormat="false" ht="15" hidden="false" customHeight="false" outlineLevel="0" collapsed="false">
      <c r="A29" s="1" t="s">
        <v>207</v>
      </c>
      <c r="B29" s="1" t="s">
        <v>261</v>
      </c>
      <c r="C29" s="7" t="n">
        <v>665</v>
      </c>
      <c r="D29" s="7" t="n">
        <v>530</v>
      </c>
      <c r="E29" s="7" t="n">
        <v>745</v>
      </c>
      <c r="F29" s="7" t="n">
        <v>730</v>
      </c>
      <c r="G29" s="7" t="n">
        <v>985</v>
      </c>
      <c r="H29" s="7" t="n">
        <v>1310</v>
      </c>
    </row>
    <row r="30" customFormat="false" ht="15" hidden="false" customHeight="false" outlineLevel="0" collapsed="false">
      <c r="A30" s="1" t="s">
        <v>207</v>
      </c>
      <c r="B30" s="1" t="s">
        <v>262</v>
      </c>
      <c r="C30" s="7" t="n">
        <v>1265</v>
      </c>
      <c r="D30" s="7" t="n">
        <v>990</v>
      </c>
      <c r="E30" s="7" t="n">
        <v>775</v>
      </c>
      <c r="F30" s="7" t="n">
        <v>830</v>
      </c>
      <c r="G30" s="7" t="n">
        <v>1180</v>
      </c>
      <c r="H30" s="7" t="n">
        <v>980</v>
      </c>
    </row>
    <row r="31" customFormat="false" ht="15" hidden="false" customHeight="false" outlineLevel="0" collapsed="false">
      <c r="A31" s="1" t="s">
        <v>207</v>
      </c>
      <c r="B31" s="1" t="s">
        <v>255</v>
      </c>
      <c r="C31" s="7" t="n">
        <v>665</v>
      </c>
      <c r="D31" s="7" t="n">
        <v>470</v>
      </c>
      <c r="E31" s="7" t="n">
        <v>630</v>
      </c>
      <c r="F31" s="7" t="n">
        <v>810</v>
      </c>
      <c r="G31" s="7" t="n">
        <v>975</v>
      </c>
      <c r="H31" s="7" t="n">
        <v>745</v>
      </c>
    </row>
    <row r="32" customFormat="false" ht="15" hidden="false" customHeight="false" outlineLevel="0" collapsed="false">
      <c r="A32" s="1" t="s">
        <v>207</v>
      </c>
      <c r="B32" s="1" t="s">
        <v>263</v>
      </c>
      <c r="C32" s="7" t="n">
        <v>55</v>
      </c>
      <c r="D32" s="7" t="n">
        <v>20</v>
      </c>
      <c r="E32" s="7" t="n">
        <v>20</v>
      </c>
      <c r="F32" s="7" t="n">
        <v>25</v>
      </c>
      <c r="G32" s="7" t="n">
        <v>20</v>
      </c>
      <c r="H32" s="7" t="n">
        <v>15</v>
      </c>
    </row>
    <row r="33" customFormat="false" ht="15" hidden="false" customHeight="false" outlineLevel="0" collapsed="false">
      <c r="A33" s="1" t="s">
        <v>207</v>
      </c>
      <c r="B33" s="1" t="s">
        <v>256</v>
      </c>
      <c r="C33" s="7" t="n">
        <v>60</v>
      </c>
      <c r="D33" s="7" t="n">
        <v>50</v>
      </c>
      <c r="E33" s="7" t="n">
        <v>80</v>
      </c>
      <c r="F33" s="7" t="n">
        <v>30</v>
      </c>
      <c r="G33" s="7" t="n">
        <v>75</v>
      </c>
      <c r="H33" s="7" t="n">
        <v>65</v>
      </c>
    </row>
    <row r="34" customFormat="false" ht="15" hidden="false" customHeight="false" outlineLevel="0" collapsed="false">
      <c r="A34" s="1" t="s">
        <v>207</v>
      </c>
      <c r="B34" s="1" t="s">
        <v>257</v>
      </c>
      <c r="C34" s="7" t="n">
        <v>165</v>
      </c>
      <c r="D34" s="7" t="n">
        <v>210</v>
      </c>
      <c r="E34" s="7" t="n">
        <v>330</v>
      </c>
      <c r="F34" s="7" t="n">
        <v>290</v>
      </c>
      <c r="G34" s="7" t="n">
        <v>375</v>
      </c>
      <c r="H34" s="7" t="n">
        <v>470</v>
      </c>
    </row>
    <row r="35" customFormat="false" ht="15" hidden="false" customHeight="false" outlineLevel="0" collapsed="false">
      <c r="A35" s="1" t="s">
        <v>207</v>
      </c>
      <c r="B35" s="1" t="s">
        <v>264</v>
      </c>
      <c r="C35" s="7" t="n">
        <v>470</v>
      </c>
      <c r="D35" s="7" t="n">
        <v>295</v>
      </c>
      <c r="E35" s="7" t="n">
        <v>635</v>
      </c>
      <c r="F35" s="7" t="n">
        <v>470</v>
      </c>
      <c r="G35" s="7" t="n">
        <v>445</v>
      </c>
      <c r="H35" s="7" t="n">
        <v>540</v>
      </c>
    </row>
    <row r="36" customFormat="false" ht="15" hidden="false" customHeight="false" outlineLevel="0" collapsed="false">
      <c r="A36" s="1" t="s">
        <v>209</v>
      </c>
      <c r="B36" s="1" t="s">
        <v>258</v>
      </c>
      <c r="C36" s="7" t="n">
        <v>1940</v>
      </c>
      <c r="D36" s="7" t="n">
        <v>1815</v>
      </c>
      <c r="E36" s="7" t="n">
        <v>1170</v>
      </c>
      <c r="F36" s="7" t="n">
        <v>1305</v>
      </c>
      <c r="G36" s="7" t="n">
        <v>1380</v>
      </c>
      <c r="H36" s="7" t="n">
        <v>1255</v>
      </c>
    </row>
    <row r="37" customFormat="false" ht="15" hidden="false" customHeight="false" outlineLevel="0" collapsed="false">
      <c r="A37" s="1" t="s">
        <v>209</v>
      </c>
      <c r="B37" s="1" t="s">
        <v>259</v>
      </c>
      <c r="C37" s="7" t="n">
        <v>75</v>
      </c>
      <c r="D37" s="7" t="n">
        <v>90</v>
      </c>
      <c r="E37" s="7" t="n">
        <v>35</v>
      </c>
      <c r="F37" s="7" t="n">
        <v>40</v>
      </c>
      <c r="G37" s="7" t="n">
        <v>210</v>
      </c>
      <c r="H37" s="7" t="n">
        <v>135</v>
      </c>
    </row>
    <row r="38" customFormat="false" ht="15" hidden="false" customHeight="false" outlineLevel="0" collapsed="false">
      <c r="A38" s="1" t="s">
        <v>209</v>
      </c>
      <c r="B38" s="1" t="s">
        <v>260</v>
      </c>
      <c r="C38" s="7" t="n">
        <v>35</v>
      </c>
      <c r="D38" s="7" t="n">
        <v>65</v>
      </c>
      <c r="E38" s="7" t="n">
        <v>45</v>
      </c>
      <c r="F38" s="7" t="n">
        <v>5</v>
      </c>
      <c r="G38" s="7" t="s">
        <v>33</v>
      </c>
      <c r="H38" s="7" t="n">
        <v>0</v>
      </c>
    </row>
    <row r="39" customFormat="false" ht="15" hidden="false" customHeight="false" outlineLevel="0" collapsed="false">
      <c r="A39" s="1" t="s">
        <v>209</v>
      </c>
      <c r="B39" s="1" t="s">
        <v>265</v>
      </c>
      <c r="C39" s="7" t="n">
        <v>0</v>
      </c>
      <c r="D39" s="7" t="n">
        <v>10</v>
      </c>
      <c r="E39" s="7" t="n">
        <v>0</v>
      </c>
      <c r="F39" s="7" t="n">
        <v>0</v>
      </c>
      <c r="G39" s="7" t="n">
        <v>0</v>
      </c>
      <c r="H39" s="7" t="n">
        <v>15</v>
      </c>
    </row>
    <row r="40" customFormat="false" ht="15" hidden="false" customHeight="false" outlineLevel="0" collapsed="false">
      <c r="A40" s="1" t="s">
        <v>209</v>
      </c>
      <c r="B40" s="1" t="s">
        <v>266</v>
      </c>
      <c r="C40" s="7" t="n">
        <v>55</v>
      </c>
      <c r="D40" s="7" t="n">
        <v>25</v>
      </c>
      <c r="E40" s="7" t="n">
        <v>0</v>
      </c>
      <c r="F40" s="7" t="n">
        <v>0</v>
      </c>
      <c r="G40" s="7" t="n">
        <v>30</v>
      </c>
      <c r="H40" s="7" t="n">
        <v>45</v>
      </c>
    </row>
    <row r="41" customFormat="false" ht="15" hidden="false" customHeight="false" outlineLevel="0" collapsed="false">
      <c r="A41" s="1" t="s">
        <v>209</v>
      </c>
      <c r="B41" s="1" t="s">
        <v>261</v>
      </c>
      <c r="C41" s="7" t="n">
        <v>4935</v>
      </c>
      <c r="D41" s="7" t="n">
        <v>3505</v>
      </c>
      <c r="E41" s="7" t="n">
        <v>3200</v>
      </c>
      <c r="F41" s="7" t="n">
        <v>3430</v>
      </c>
      <c r="G41" s="7" t="n">
        <v>4290</v>
      </c>
      <c r="H41" s="7" t="n">
        <v>3890</v>
      </c>
    </row>
    <row r="42" customFormat="false" ht="15" hidden="false" customHeight="false" outlineLevel="0" collapsed="false">
      <c r="A42" s="1" t="s">
        <v>209</v>
      </c>
      <c r="B42" s="1" t="s">
        <v>267</v>
      </c>
      <c r="C42" s="7" t="n">
        <v>5</v>
      </c>
      <c r="D42" s="7" t="n">
        <v>15</v>
      </c>
      <c r="E42" s="7" t="s">
        <v>33</v>
      </c>
      <c r="F42" s="7" t="n">
        <v>20</v>
      </c>
      <c r="G42" s="7" t="s">
        <v>33</v>
      </c>
      <c r="H42" s="7" t="n">
        <v>0</v>
      </c>
    </row>
    <row r="43" customFormat="false" ht="15" hidden="false" customHeight="false" outlineLevel="0" collapsed="false">
      <c r="A43" s="1" t="s">
        <v>209</v>
      </c>
      <c r="B43" s="1" t="s">
        <v>268</v>
      </c>
      <c r="C43" s="7" t="n">
        <v>985</v>
      </c>
      <c r="D43" s="7" t="n">
        <v>1215</v>
      </c>
      <c r="E43" s="7" t="n">
        <v>1180</v>
      </c>
      <c r="F43" s="7" t="n">
        <v>490</v>
      </c>
      <c r="G43" s="7" t="n">
        <v>335</v>
      </c>
      <c r="H43" s="7" t="n">
        <v>60</v>
      </c>
    </row>
    <row r="44" customFormat="false" ht="15" hidden="false" customHeight="false" outlineLevel="0" collapsed="false">
      <c r="A44" s="1" t="s">
        <v>209</v>
      </c>
      <c r="B44" s="1" t="s">
        <v>269</v>
      </c>
      <c r="C44" s="7" t="n">
        <v>100</v>
      </c>
      <c r="D44" s="7" t="n">
        <v>105</v>
      </c>
      <c r="E44" s="7" t="n">
        <v>105</v>
      </c>
      <c r="F44" s="7" t="n">
        <v>80</v>
      </c>
      <c r="G44" s="7" t="n">
        <v>20</v>
      </c>
      <c r="H44" s="7" t="n">
        <v>45</v>
      </c>
    </row>
    <row r="45" customFormat="false" ht="15" hidden="false" customHeight="false" outlineLevel="0" collapsed="false">
      <c r="A45" s="1" t="s">
        <v>209</v>
      </c>
      <c r="B45" s="1" t="s">
        <v>262</v>
      </c>
      <c r="C45" s="7" t="n">
        <v>1650</v>
      </c>
      <c r="D45" s="7" t="n">
        <v>1110</v>
      </c>
      <c r="E45" s="7" t="n">
        <v>1515</v>
      </c>
      <c r="F45" s="7" t="n">
        <v>1480</v>
      </c>
      <c r="G45" s="7" t="n">
        <v>2240</v>
      </c>
      <c r="H45" s="7" t="n">
        <v>1680</v>
      </c>
    </row>
    <row r="46" customFormat="false" ht="15" hidden="false" customHeight="false" outlineLevel="0" collapsed="false">
      <c r="A46" s="1" t="s">
        <v>209</v>
      </c>
      <c r="B46" s="1" t="s">
        <v>255</v>
      </c>
      <c r="C46" s="7" t="n">
        <v>500</v>
      </c>
      <c r="D46" s="7" t="n">
        <v>410</v>
      </c>
      <c r="E46" s="7" t="n">
        <v>580</v>
      </c>
      <c r="F46" s="7" t="n">
        <v>570</v>
      </c>
      <c r="G46" s="7" t="n">
        <v>725</v>
      </c>
      <c r="H46" s="7" t="n">
        <v>500</v>
      </c>
    </row>
    <row r="47" customFormat="false" ht="15" hidden="false" customHeight="false" outlineLevel="0" collapsed="false">
      <c r="A47" s="1" t="s">
        <v>209</v>
      </c>
      <c r="B47" s="1" t="s">
        <v>270</v>
      </c>
      <c r="C47" s="7" t="n">
        <v>505</v>
      </c>
      <c r="D47" s="7" t="n">
        <v>520</v>
      </c>
      <c r="E47" s="7" t="n">
        <v>470</v>
      </c>
      <c r="F47" s="7" t="n">
        <v>455</v>
      </c>
      <c r="G47" s="7" t="n">
        <v>685</v>
      </c>
      <c r="H47" s="7" t="n">
        <v>870</v>
      </c>
    </row>
    <row r="48" customFormat="false" ht="15" hidden="false" customHeight="false" outlineLevel="0" collapsed="false">
      <c r="A48" s="1" t="s">
        <v>209</v>
      </c>
      <c r="B48" s="1" t="s">
        <v>271</v>
      </c>
      <c r="C48" s="7" t="n">
        <v>70</v>
      </c>
      <c r="D48" s="7" t="n">
        <v>45</v>
      </c>
      <c r="E48" s="7" t="n">
        <v>15</v>
      </c>
      <c r="F48" s="7" t="n">
        <v>20</v>
      </c>
      <c r="G48" s="7" t="s">
        <v>33</v>
      </c>
      <c r="H48" s="7" t="n">
        <v>10</v>
      </c>
    </row>
    <row r="49" customFormat="false" ht="15" hidden="false" customHeight="false" outlineLevel="0" collapsed="false">
      <c r="A49" s="1" t="s">
        <v>209</v>
      </c>
      <c r="B49" s="1" t="s">
        <v>272</v>
      </c>
      <c r="C49" s="7" t="n">
        <v>55</v>
      </c>
      <c r="D49" s="7" t="s">
        <v>33</v>
      </c>
      <c r="E49" s="7" t="n">
        <v>5</v>
      </c>
      <c r="F49" s="7" t="n">
        <v>20</v>
      </c>
      <c r="G49" s="7" t="n">
        <v>65</v>
      </c>
      <c r="H49" s="7" t="n">
        <v>135</v>
      </c>
    </row>
    <row r="50" customFormat="false" ht="15" hidden="false" customHeight="false" outlineLevel="0" collapsed="false">
      <c r="A50" s="1" t="s">
        <v>209</v>
      </c>
      <c r="B50" s="1" t="s">
        <v>263</v>
      </c>
      <c r="C50" s="7" t="n">
        <v>270</v>
      </c>
      <c r="D50" s="7" t="n">
        <v>190</v>
      </c>
      <c r="E50" s="7" t="n">
        <v>95</v>
      </c>
      <c r="F50" s="7" t="n">
        <v>95</v>
      </c>
      <c r="G50" s="7" t="n">
        <v>175</v>
      </c>
      <c r="H50" s="7" t="n">
        <v>50</v>
      </c>
    </row>
    <row r="51" customFormat="false" ht="15" hidden="false" customHeight="false" outlineLevel="0" collapsed="false">
      <c r="A51" s="1" t="s">
        <v>209</v>
      </c>
      <c r="B51" s="1" t="s">
        <v>256</v>
      </c>
      <c r="C51" s="7" t="n">
        <v>590</v>
      </c>
      <c r="D51" s="7" t="n">
        <v>440</v>
      </c>
      <c r="E51" s="7" t="n">
        <v>305</v>
      </c>
      <c r="F51" s="7" t="n">
        <v>365</v>
      </c>
      <c r="G51" s="7" t="n">
        <v>420</v>
      </c>
      <c r="H51" s="7" t="n">
        <v>320</v>
      </c>
    </row>
    <row r="52" customFormat="false" ht="15" hidden="false" customHeight="false" outlineLevel="0" collapsed="false">
      <c r="A52" s="1" t="s">
        <v>209</v>
      </c>
      <c r="B52" s="1" t="s">
        <v>257</v>
      </c>
      <c r="C52" s="7" t="n">
        <v>765</v>
      </c>
      <c r="D52" s="7" t="n">
        <v>225</v>
      </c>
      <c r="E52" s="7" t="n">
        <v>180</v>
      </c>
      <c r="F52" s="7" t="n">
        <v>215</v>
      </c>
      <c r="G52" s="7" t="n">
        <v>180</v>
      </c>
      <c r="H52" s="7" t="n">
        <v>385</v>
      </c>
    </row>
    <row r="53" customFormat="false" ht="15" hidden="false" customHeight="false" outlineLevel="0" collapsed="false">
      <c r="A53" s="1" t="s">
        <v>209</v>
      </c>
      <c r="B53" s="1" t="s">
        <v>264</v>
      </c>
      <c r="C53" s="7" t="n">
        <v>790</v>
      </c>
      <c r="D53" s="7" t="n">
        <v>965</v>
      </c>
      <c r="E53" s="7" t="n">
        <v>745</v>
      </c>
      <c r="F53" s="7" t="n">
        <v>900</v>
      </c>
      <c r="G53" s="7" t="n">
        <v>975</v>
      </c>
      <c r="H53" s="7" t="n">
        <v>895</v>
      </c>
    </row>
    <row r="54" customFormat="false" ht="15" hidden="false" customHeight="false" outlineLevel="0" collapsed="false">
      <c r="A54" s="1" t="s">
        <v>211</v>
      </c>
      <c r="B54" s="1" t="s">
        <v>273</v>
      </c>
      <c r="C54" s="7" t="n">
        <v>825</v>
      </c>
      <c r="D54" s="7" t="n">
        <v>650</v>
      </c>
      <c r="E54" s="7" t="n">
        <v>595</v>
      </c>
      <c r="F54" s="7" t="n">
        <v>590</v>
      </c>
      <c r="G54" s="7" t="n">
        <v>565</v>
      </c>
      <c r="H54" s="7" t="n">
        <v>300</v>
      </c>
    </row>
    <row r="55" customFormat="false" ht="15" hidden="false" customHeight="false" outlineLevel="0" collapsed="false">
      <c r="A55" s="1" t="s">
        <v>211</v>
      </c>
      <c r="B55" s="1" t="s">
        <v>258</v>
      </c>
      <c r="C55" s="7" t="n">
        <v>2340</v>
      </c>
      <c r="D55" s="7" t="n">
        <v>1515</v>
      </c>
      <c r="E55" s="7" t="n">
        <v>1415</v>
      </c>
      <c r="F55" s="7" t="n">
        <v>860</v>
      </c>
      <c r="G55" s="7" t="n">
        <v>1210</v>
      </c>
      <c r="H55" s="7" t="n">
        <v>905</v>
      </c>
    </row>
    <row r="56" customFormat="false" ht="15" hidden="false" customHeight="false" outlineLevel="0" collapsed="false">
      <c r="A56" s="1" t="s">
        <v>211</v>
      </c>
      <c r="B56" s="1" t="s">
        <v>259</v>
      </c>
      <c r="C56" s="7" t="n">
        <v>335</v>
      </c>
      <c r="D56" s="7" t="n">
        <v>280</v>
      </c>
      <c r="E56" s="7" t="n">
        <v>210</v>
      </c>
      <c r="F56" s="7" t="n">
        <v>235</v>
      </c>
      <c r="G56" s="7" t="n">
        <v>290</v>
      </c>
      <c r="H56" s="7" t="n">
        <v>175</v>
      </c>
    </row>
    <row r="57" customFormat="false" ht="15" hidden="false" customHeight="false" outlineLevel="0" collapsed="false">
      <c r="A57" s="1" t="s">
        <v>211</v>
      </c>
      <c r="B57" s="1" t="s">
        <v>260</v>
      </c>
      <c r="C57" s="7" t="n">
        <v>10</v>
      </c>
      <c r="D57" s="7" t="n">
        <v>25</v>
      </c>
      <c r="E57" s="7" t="n">
        <v>5</v>
      </c>
      <c r="F57" s="7" t="s">
        <v>33</v>
      </c>
      <c r="G57" s="7" t="s">
        <v>35</v>
      </c>
      <c r="H57" s="7" t="s">
        <v>35</v>
      </c>
    </row>
    <row r="58" customFormat="false" ht="15" hidden="false" customHeight="false" outlineLevel="0" collapsed="false">
      <c r="A58" s="1" t="s">
        <v>211</v>
      </c>
      <c r="B58" s="1" t="s">
        <v>274</v>
      </c>
      <c r="C58" s="7" t="s">
        <v>35</v>
      </c>
      <c r="D58" s="7" t="s">
        <v>35</v>
      </c>
      <c r="E58" s="7" t="s">
        <v>35</v>
      </c>
      <c r="F58" s="7" t="s">
        <v>35</v>
      </c>
      <c r="G58" s="7" t="s">
        <v>33</v>
      </c>
      <c r="H58" s="7" t="n">
        <v>15</v>
      </c>
    </row>
    <row r="59" customFormat="false" ht="15" hidden="false" customHeight="false" outlineLevel="0" collapsed="false">
      <c r="A59" s="1" t="s">
        <v>211</v>
      </c>
      <c r="B59" s="1" t="s">
        <v>275</v>
      </c>
      <c r="C59" s="7" t="n">
        <v>10</v>
      </c>
      <c r="D59" s="7" t="s">
        <v>35</v>
      </c>
      <c r="E59" s="7" t="s">
        <v>35</v>
      </c>
      <c r="F59" s="7" t="s">
        <v>35</v>
      </c>
      <c r="G59" s="7" t="s">
        <v>35</v>
      </c>
      <c r="H59" s="7" t="s">
        <v>35</v>
      </c>
    </row>
    <row r="60" customFormat="false" ht="15" hidden="false" customHeight="false" outlineLevel="0" collapsed="false">
      <c r="A60" s="1" t="s">
        <v>211</v>
      </c>
      <c r="B60" s="1" t="s">
        <v>276</v>
      </c>
      <c r="C60" s="7" t="n">
        <v>905</v>
      </c>
      <c r="D60" s="7" t="n">
        <v>880</v>
      </c>
      <c r="E60" s="7" t="n">
        <v>635</v>
      </c>
      <c r="F60" s="7" t="n">
        <v>510</v>
      </c>
      <c r="G60" s="7" t="n">
        <v>850</v>
      </c>
      <c r="H60" s="7" t="n">
        <v>710</v>
      </c>
    </row>
    <row r="61" customFormat="false" ht="15" hidden="false" customHeight="false" outlineLevel="0" collapsed="false">
      <c r="A61" s="1" t="s">
        <v>211</v>
      </c>
      <c r="B61" s="1" t="s">
        <v>268</v>
      </c>
      <c r="C61" s="7" t="n">
        <v>2865</v>
      </c>
      <c r="D61" s="7" t="n">
        <v>2185</v>
      </c>
      <c r="E61" s="7" t="n">
        <v>1845</v>
      </c>
      <c r="F61" s="7" t="n">
        <v>1405</v>
      </c>
      <c r="G61" s="7" t="n">
        <v>1355</v>
      </c>
      <c r="H61" s="7" t="n">
        <v>160</v>
      </c>
    </row>
    <row r="62" customFormat="false" ht="15" hidden="false" customHeight="false" outlineLevel="0" collapsed="false">
      <c r="A62" s="1" t="s">
        <v>211</v>
      </c>
      <c r="B62" s="1" t="s">
        <v>262</v>
      </c>
      <c r="C62" s="7" t="n">
        <v>400</v>
      </c>
      <c r="D62" s="7" t="n">
        <v>330</v>
      </c>
      <c r="E62" s="7" t="n">
        <v>25</v>
      </c>
      <c r="F62" s="7" t="n">
        <v>25</v>
      </c>
      <c r="G62" s="7" t="s">
        <v>35</v>
      </c>
      <c r="H62" s="7" t="s">
        <v>35</v>
      </c>
    </row>
    <row r="63" customFormat="false" ht="15" hidden="false" customHeight="false" outlineLevel="0" collapsed="false">
      <c r="A63" s="1" t="s">
        <v>211</v>
      </c>
      <c r="B63" s="1" t="s">
        <v>255</v>
      </c>
      <c r="C63" s="7" t="n">
        <v>855</v>
      </c>
      <c r="D63" s="7" t="n">
        <v>705</v>
      </c>
      <c r="E63" s="7" t="n">
        <v>760</v>
      </c>
      <c r="F63" s="7" t="n">
        <v>675</v>
      </c>
      <c r="G63" s="7" t="n">
        <v>815</v>
      </c>
      <c r="H63" s="7" t="n">
        <v>1040</v>
      </c>
    </row>
    <row r="64" customFormat="false" ht="15" hidden="false" customHeight="false" outlineLevel="0" collapsed="false">
      <c r="A64" s="1" t="s">
        <v>211</v>
      </c>
      <c r="B64" s="1" t="s">
        <v>270</v>
      </c>
      <c r="C64" s="7" t="n">
        <v>1325</v>
      </c>
      <c r="D64" s="7" t="n">
        <v>1140</v>
      </c>
      <c r="E64" s="7" t="n">
        <v>850</v>
      </c>
      <c r="F64" s="7" t="n">
        <v>500</v>
      </c>
      <c r="G64" s="7" t="n">
        <v>430</v>
      </c>
      <c r="H64" s="7" t="n">
        <v>240</v>
      </c>
    </row>
    <row r="65" customFormat="false" ht="15" hidden="false" customHeight="false" outlineLevel="0" collapsed="false">
      <c r="A65" s="1" t="s">
        <v>211</v>
      </c>
      <c r="B65" s="1" t="s">
        <v>271</v>
      </c>
      <c r="C65" s="7" t="n">
        <v>170</v>
      </c>
      <c r="D65" s="7" t="n">
        <v>50</v>
      </c>
      <c r="E65" s="7" t="n">
        <v>50</v>
      </c>
      <c r="F65" s="7" t="n">
        <v>30</v>
      </c>
      <c r="G65" s="7" t="n">
        <v>35</v>
      </c>
      <c r="H65" s="7" t="n">
        <v>30</v>
      </c>
    </row>
    <row r="66" customFormat="false" ht="15" hidden="false" customHeight="false" outlineLevel="0" collapsed="false">
      <c r="A66" s="1" t="s">
        <v>211</v>
      </c>
      <c r="B66" s="1" t="s">
        <v>263</v>
      </c>
      <c r="C66" s="7" t="n">
        <v>255</v>
      </c>
      <c r="D66" s="7" t="n">
        <v>160</v>
      </c>
      <c r="E66" s="7" t="n">
        <v>165</v>
      </c>
      <c r="F66" s="7" t="n">
        <v>145</v>
      </c>
      <c r="G66" s="7" t="n">
        <v>210</v>
      </c>
      <c r="H66" s="7" t="n">
        <v>20</v>
      </c>
    </row>
    <row r="67" customFormat="false" ht="15" hidden="false" customHeight="false" outlineLevel="0" collapsed="false">
      <c r="A67" s="1" t="s">
        <v>211</v>
      </c>
      <c r="B67" s="1" t="s">
        <v>256</v>
      </c>
      <c r="C67" s="7" t="n">
        <v>890</v>
      </c>
      <c r="D67" s="7" t="n">
        <v>845</v>
      </c>
      <c r="E67" s="7" t="n">
        <v>720</v>
      </c>
      <c r="F67" s="7" t="n">
        <v>735</v>
      </c>
      <c r="G67" s="7" t="n">
        <v>730</v>
      </c>
      <c r="H67" s="7" t="n">
        <v>650</v>
      </c>
    </row>
    <row r="68" customFormat="false" ht="15" hidden="false" customHeight="false" outlineLevel="0" collapsed="false">
      <c r="A68" s="1" t="s">
        <v>211</v>
      </c>
      <c r="B68" s="1" t="s">
        <v>264</v>
      </c>
      <c r="C68" s="7" t="n">
        <v>3050</v>
      </c>
      <c r="D68" s="7" t="n">
        <v>2440</v>
      </c>
      <c r="E68" s="7" t="n">
        <v>2325</v>
      </c>
      <c r="F68" s="7" t="n">
        <v>1500</v>
      </c>
      <c r="G68" s="7" t="n">
        <v>1745</v>
      </c>
      <c r="H68" s="7" t="n">
        <v>930</v>
      </c>
    </row>
    <row r="69" customFormat="false" ht="15" hidden="false" customHeight="false" outlineLevel="0" collapsed="false">
      <c r="A69" s="1" t="s">
        <v>213</v>
      </c>
      <c r="B69" s="1" t="s">
        <v>258</v>
      </c>
      <c r="C69" s="7" t="n">
        <v>1425</v>
      </c>
      <c r="D69" s="7" t="n">
        <v>830</v>
      </c>
      <c r="E69" s="7" t="n">
        <v>695</v>
      </c>
      <c r="F69" s="7" t="n">
        <v>550</v>
      </c>
      <c r="G69" s="7" t="n">
        <v>700</v>
      </c>
      <c r="H69" s="7" t="n">
        <v>875</v>
      </c>
    </row>
    <row r="70" customFormat="false" ht="15" hidden="false" customHeight="false" outlineLevel="0" collapsed="false">
      <c r="A70" s="1" t="s">
        <v>213</v>
      </c>
      <c r="B70" s="1" t="s">
        <v>260</v>
      </c>
      <c r="C70" s="7" t="n">
        <v>5</v>
      </c>
      <c r="D70" s="7" t="n">
        <v>0</v>
      </c>
      <c r="E70" s="7" t="s">
        <v>35</v>
      </c>
      <c r="F70" s="7" t="s">
        <v>35</v>
      </c>
      <c r="G70" s="7" t="s">
        <v>35</v>
      </c>
      <c r="H70" s="7" t="s">
        <v>35</v>
      </c>
    </row>
    <row r="71" customFormat="false" ht="15" hidden="false" customHeight="false" outlineLevel="0" collapsed="false">
      <c r="A71" s="1" t="s">
        <v>213</v>
      </c>
      <c r="B71" s="1" t="s">
        <v>275</v>
      </c>
      <c r="C71" s="7" t="n">
        <v>10</v>
      </c>
      <c r="D71" s="7" t="s">
        <v>35</v>
      </c>
      <c r="E71" s="7" t="s">
        <v>35</v>
      </c>
      <c r="F71" s="7" t="s">
        <v>35</v>
      </c>
      <c r="G71" s="7" t="s">
        <v>35</v>
      </c>
      <c r="H71" s="7" t="s">
        <v>35</v>
      </c>
    </row>
    <row r="72" customFormat="false" ht="15" hidden="false" customHeight="false" outlineLevel="0" collapsed="false">
      <c r="A72" s="1" t="s">
        <v>213</v>
      </c>
      <c r="B72" s="1" t="s">
        <v>276</v>
      </c>
      <c r="C72" s="7" t="n">
        <v>5220</v>
      </c>
      <c r="D72" s="7" t="n">
        <v>4400</v>
      </c>
      <c r="E72" s="7" t="n">
        <v>3555</v>
      </c>
      <c r="F72" s="7" t="n">
        <v>3480</v>
      </c>
      <c r="G72" s="7" t="n">
        <v>3410</v>
      </c>
      <c r="H72" s="7" t="n">
        <v>2945</v>
      </c>
    </row>
    <row r="73" customFormat="false" ht="15" hidden="false" customHeight="false" outlineLevel="0" collapsed="false">
      <c r="A73" s="1" t="s">
        <v>213</v>
      </c>
      <c r="B73" s="1" t="s">
        <v>268</v>
      </c>
      <c r="C73" s="7" t="n">
        <v>35</v>
      </c>
      <c r="D73" s="7" t="s">
        <v>35</v>
      </c>
      <c r="E73" s="7" t="s">
        <v>35</v>
      </c>
      <c r="F73" s="7" t="s">
        <v>35</v>
      </c>
      <c r="G73" s="7" t="s">
        <v>35</v>
      </c>
      <c r="H73" s="7" t="s">
        <v>35</v>
      </c>
    </row>
    <row r="74" customFormat="false" ht="15" hidden="false" customHeight="false" outlineLevel="0" collapsed="false">
      <c r="A74" s="1" t="s">
        <v>213</v>
      </c>
      <c r="B74" s="1" t="s">
        <v>262</v>
      </c>
      <c r="C74" s="7" t="n">
        <v>155</v>
      </c>
      <c r="D74" s="7" t="n">
        <v>100</v>
      </c>
      <c r="E74" s="7" t="n">
        <v>30</v>
      </c>
      <c r="F74" s="7" t="s">
        <v>33</v>
      </c>
      <c r="G74" s="7" t="s">
        <v>35</v>
      </c>
      <c r="H74" s="7" t="s">
        <v>35</v>
      </c>
    </row>
    <row r="75" customFormat="false" ht="15" hidden="false" customHeight="false" outlineLevel="0" collapsed="false">
      <c r="A75" s="1" t="s">
        <v>213</v>
      </c>
      <c r="B75" s="1" t="s">
        <v>255</v>
      </c>
      <c r="C75" s="7" t="n">
        <v>1350</v>
      </c>
      <c r="D75" s="7" t="n">
        <v>1470</v>
      </c>
      <c r="E75" s="7" t="n">
        <v>1390</v>
      </c>
      <c r="F75" s="7" t="n">
        <v>1405</v>
      </c>
      <c r="G75" s="7" t="n">
        <v>1605</v>
      </c>
      <c r="H75" s="7" t="n">
        <v>1435</v>
      </c>
    </row>
    <row r="76" customFormat="false" ht="15" hidden="false" customHeight="false" outlineLevel="0" collapsed="false">
      <c r="A76" s="1" t="s">
        <v>213</v>
      </c>
      <c r="B76" s="1" t="s">
        <v>270</v>
      </c>
      <c r="C76" s="7" t="n">
        <v>45</v>
      </c>
      <c r="D76" s="7" t="n">
        <v>20</v>
      </c>
      <c r="E76" s="7" t="s">
        <v>35</v>
      </c>
      <c r="F76" s="7" t="s">
        <v>35</v>
      </c>
      <c r="G76" s="7" t="s">
        <v>35</v>
      </c>
      <c r="H76" s="7" t="s">
        <v>35</v>
      </c>
    </row>
    <row r="77" customFormat="false" ht="15" hidden="false" customHeight="false" outlineLevel="0" collapsed="false">
      <c r="A77" s="1" t="s">
        <v>213</v>
      </c>
      <c r="B77" s="1" t="s">
        <v>263</v>
      </c>
      <c r="C77" s="7" t="n">
        <v>20</v>
      </c>
      <c r="D77" s="7" t="n">
        <v>25</v>
      </c>
      <c r="E77" s="7" t="n">
        <v>15</v>
      </c>
      <c r="F77" s="7" t="s">
        <v>33</v>
      </c>
      <c r="G77" s="7" t="n">
        <v>15</v>
      </c>
      <c r="H77" s="7" t="n">
        <v>15</v>
      </c>
    </row>
    <row r="78" customFormat="false" ht="15" hidden="false" customHeight="false" outlineLevel="0" collapsed="false">
      <c r="A78" s="1" t="s">
        <v>213</v>
      </c>
      <c r="B78" s="1" t="s">
        <v>256</v>
      </c>
      <c r="C78" s="7" t="n">
        <v>225</v>
      </c>
      <c r="D78" s="7" t="n">
        <v>165</v>
      </c>
      <c r="E78" s="7" t="n">
        <v>135</v>
      </c>
      <c r="F78" s="7" t="n">
        <v>125</v>
      </c>
      <c r="G78" s="7" t="n">
        <v>125</v>
      </c>
      <c r="H78" s="7" t="n">
        <v>65</v>
      </c>
    </row>
    <row r="79" customFormat="false" ht="15" hidden="false" customHeight="false" outlineLevel="0" collapsed="false">
      <c r="A79" s="1" t="s">
        <v>213</v>
      </c>
      <c r="B79" s="1" t="s">
        <v>277</v>
      </c>
      <c r="C79" s="7" t="n">
        <v>95</v>
      </c>
      <c r="D79" s="7" t="n">
        <v>95</v>
      </c>
      <c r="E79" s="7" t="n">
        <v>45</v>
      </c>
      <c r="F79" s="7" t="n">
        <v>115</v>
      </c>
      <c r="G79" s="7" t="n">
        <v>45</v>
      </c>
      <c r="H79" s="7" t="n">
        <v>50</v>
      </c>
    </row>
    <row r="80" customFormat="false" ht="15" hidden="false" customHeight="false" outlineLevel="0" collapsed="false">
      <c r="A80" s="1" t="s">
        <v>246</v>
      </c>
      <c r="B80" s="1" t="s">
        <v>262</v>
      </c>
      <c r="C80" s="7" t="n">
        <v>15</v>
      </c>
      <c r="D80" s="7" t="n">
        <v>0</v>
      </c>
      <c r="E80" s="7" t="s">
        <v>35</v>
      </c>
      <c r="F80" s="7" t="s">
        <v>35</v>
      </c>
      <c r="G80" s="7" t="s">
        <v>35</v>
      </c>
      <c r="H80" s="7" t="s">
        <v>35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45 A1"/>
    </sheetView>
  </sheetViews>
  <sheetFormatPr defaultColWidth="11.078125" defaultRowHeight="15" zeroHeight="false" outlineLevelRow="0" outlineLevelCol="0"/>
  <cols>
    <col collapsed="false" customWidth="true" hidden="false" outlineLevel="0" max="1" min="1" style="1" width="6.69"/>
    <col collapsed="false" customWidth="true" hidden="false" outlineLevel="0" max="2" min="2" style="1" width="67.69"/>
    <col collapsed="false" customWidth="true" hidden="false" outlineLevel="0" max="8" min="3" style="1" width="19.69"/>
  </cols>
  <sheetData>
    <row r="1" customFormat="false" ht="30" hidden="false" customHeight="true" outlineLevel="0" collapsed="false">
      <c r="A1" s="2" t="s">
        <v>278</v>
      </c>
    </row>
    <row r="2" customFormat="false" ht="15" hidden="false" customHeight="false" outlineLevel="0" collapsed="false">
      <c r="A2" s="1" t="s">
        <v>7</v>
      </c>
    </row>
    <row r="3" customFormat="false" ht="15" hidden="false" customHeight="false" outlineLevel="0" collapsed="false">
      <c r="A3" s="1" t="s">
        <v>241</v>
      </c>
    </row>
    <row r="4" customFormat="false" ht="15" hidden="false" customHeight="false" outlineLevel="0" collapsed="false">
      <c r="A4" s="6" t="s">
        <v>206</v>
      </c>
      <c r="B4" s="6" t="s">
        <v>9</v>
      </c>
      <c r="C4" s="6" t="s">
        <v>10</v>
      </c>
      <c r="D4" s="6" t="s">
        <v>13</v>
      </c>
      <c r="E4" s="6" t="s">
        <v>16</v>
      </c>
      <c r="F4" s="6" t="s">
        <v>19</v>
      </c>
      <c r="G4" s="6" t="s">
        <v>22</v>
      </c>
      <c r="H4" s="6" t="s">
        <v>25</v>
      </c>
    </row>
    <row r="5" customFormat="false" ht="15" hidden="false" customHeight="false" outlineLevel="0" collapsed="false">
      <c r="A5" s="1" t="s">
        <v>244</v>
      </c>
      <c r="B5" s="1" t="s">
        <v>245</v>
      </c>
      <c r="C5" s="7" t="n">
        <v>105</v>
      </c>
      <c r="D5" s="7" t="n">
        <v>105</v>
      </c>
      <c r="E5" s="7" t="n">
        <v>55</v>
      </c>
      <c r="F5" s="7" t="n">
        <v>85</v>
      </c>
      <c r="G5" s="7" t="n">
        <v>90</v>
      </c>
      <c r="H5" s="7" t="n">
        <v>70</v>
      </c>
    </row>
    <row r="6" customFormat="false" ht="15" hidden="false" customHeight="false" outlineLevel="0" collapsed="false">
      <c r="A6" s="1" t="s">
        <v>207</v>
      </c>
      <c r="B6" s="1" t="s">
        <v>208</v>
      </c>
      <c r="C6" s="7" t="n">
        <v>275</v>
      </c>
      <c r="D6" s="7" t="n">
        <v>110</v>
      </c>
      <c r="E6" s="7" t="n">
        <v>125</v>
      </c>
      <c r="F6" s="7" t="n">
        <v>45</v>
      </c>
      <c r="G6" s="7" t="n">
        <v>205</v>
      </c>
      <c r="H6" s="7" t="n">
        <v>100</v>
      </c>
    </row>
    <row r="7" customFormat="false" ht="15" hidden="false" customHeight="false" outlineLevel="0" collapsed="false">
      <c r="A7" s="1" t="s">
        <v>209</v>
      </c>
      <c r="B7" s="1" t="s">
        <v>210</v>
      </c>
      <c r="C7" s="7" t="n">
        <v>5555</v>
      </c>
      <c r="D7" s="7" t="n">
        <v>5215</v>
      </c>
      <c r="E7" s="7" t="n">
        <v>4500</v>
      </c>
      <c r="F7" s="7" t="n">
        <v>3690</v>
      </c>
      <c r="G7" s="7" t="n">
        <v>4320</v>
      </c>
      <c r="H7" s="7" t="n">
        <v>4370</v>
      </c>
    </row>
    <row r="8" customFormat="false" ht="15" hidden="false" customHeight="false" outlineLevel="0" collapsed="false">
      <c r="A8" s="1" t="s">
        <v>211</v>
      </c>
      <c r="B8" s="1" t="s">
        <v>212</v>
      </c>
      <c r="C8" s="7" t="n">
        <v>11975</v>
      </c>
      <c r="D8" s="7" t="n">
        <v>9930</v>
      </c>
      <c r="E8" s="7" t="n">
        <v>7865</v>
      </c>
      <c r="F8" s="7" t="n">
        <v>5395</v>
      </c>
      <c r="G8" s="7" t="n">
        <v>5915</v>
      </c>
      <c r="H8" s="7" t="n">
        <v>5250</v>
      </c>
    </row>
    <row r="9" customFormat="false" ht="15" hidden="false" customHeight="false" outlineLevel="0" collapsed="false">
      <c r="A9" s="1" t="s">
        <v>213</v>
      </c>
      <c r="B9" s="1" t="s">
        <v>214</v>
      </c>
      <c r="C9" s="7" t="n">
        <v>11450</v>
      </c>
      <c r="D9" s="7" t="n">
        <v>8210</v>
      </c>
      <c r="E9" s="7" t="n">
        <v>7095</v>
      </c>
      <c r="F9" s="7" t="n">
        <v>6095</v>
      </c>
      <c r="G9" s="7" t="n">
        <v>5695</v>
      </c>
      <c r="H9" s="7" t="n">
        <v>3345</v>
      </c>
    </row>
    <row r="10" customFormat="false" ht="15" hidden="false" customHeight="false" outlineLevel="0" collapsed="false">
      <c r="A10" s="9" t="s">
        <v>244</v>
      </c>
      <c r="B10" s="9" t="s">
        <v>279</v>
      </c>
      <c r="C10" s="10" t="n">
        <v>95</v>
      </c>
      <c r="D10" s="10" t="n">
        <v>80</v>
      </c>
      <c r="E10" s="10" t="n">
        <v>45</v>
      </c>
      <c r="F10" s="10" t="n">
        <v>75</v>
      </c>
      <c r="G10" s="10" t="n">
        <v>85</v>
      </c>
      <c r="H10" s="10" t="n">
        <v>70</v>
      </c>
    </row>
    <row r="11" customFormat="false" ht="15" hidden="false" customHeight="false" outlineLevel="0" collapsed="false">
      <c r="A11" s="1" t="s">
        <v>244</v>
      </c>
      <c r="B11" s="1" t="s">
        <v>280</v>
      </c>
      <c r="C11" s="7" t="n">
        <v>5</v>
      </c>
      <c r="D11" s="7" t="n">
        <v>20</v>
      </c>
      <c r="E11" s="7" t="n">
        <v>10</v>
      </c>
      <c r="F11" s="7" t="n">
        <v>10</v>
      </c>
      <c r="G11" s="7" t="n">
        <v>5</v>
      </c>
      <c r="H11" s="7" t="s">
        <v>35</v>
      </c>
    </row>
    <row r="12" customFormat="false" ht="15" hidden="false" customHeight="false" outlineLevel="0" collapsed="false">
      <c r="A12" s="1" t="s">
        <v>207</v>
      </c>
      <c r="B12" s="1" t="s">
        <v>281</v>
      </c>
      <c r="C12" s="7" t="s">
        <v>33</v>
      </c>
      <c r="D12" s="7" t="n">
        <v>0</v>
      </c>
      <c r="E12" s="7" t="s">
        <v>35</v>
      </c>
      <c r="F12" s="7" t="s">
        <v>35</v>
      </c>
      <c r="G12" s="7" t="s">
        <v>35</v>
      </c>
      <c r="H12" s="7" t="s">
        <v>35</v>
      </c>
    </row>
    <row r="13" customFormat="false" ht="15" hidden="false" customHeight="false" outlineLevel="0" collapsed="false">
      <c r="A13" s="1" t="s">
        <v>207</v>
      </c>
      <c r="B13" s="1" t="s">
        <v>282</v>
      </c>
      <c r="C13" s="7" t="s">
        <v>33</v>
      </c>
      <c r="D13" s="7" t="n">
        <v>25</v>
      </c>
      <c r="E13" s="7" t="n">
        <v>45</v>
      </c>
      <c r="F13" s="7" t="n">
        <v>15</v>
      </c>
      <c r="G13" s="7" t="n">
        <v>105</v>
      </c>
      <c r="H13" s="7" t="n">
        <v>15</v>
      </c>
    </row>
    <row r="14" customFormat="false" ht="15" hidden="false" customHeight="false" outlineLevel="0" collapsed="false">
      <c r="A14" s="1" t="s">
        <v>207</v>
      </c>
      <c r="B14" s="1" t="s">
        <v>283</v>
      </c>
      <c r="C14" s="7" t="n">
        <v>140</v>
      </c>
      <c r="D14" s="7" t="n">
        <v>10</v>
      </c>
      <c r="E14" s="7" t="s">
        <v>35</v>
      </c>
      <c r="F14" s="7" t="s">
        <v>35</v>
      </c>
      <c r="G14" s="7" t="s">
        <v>35</v>
      </c>
      <c r="H14" s="7" t="s">
        <v>35</v>
      </c>
    </row>
    <row r="15" customFormat="false" ht="15" hidden="false" customHeight="false" outlineLevel="0" collapsed="false">
      <c r="A15" s="1" t="s">
        <v>207</v>
      </c>
      <c r="B15" s="1" t="s">
        <v>284</v>
      </c>
      <c r="C15" s="7" t="s">
        <v>33</v>
      </c>
      <c r="D15" s="7" t="n">
        <v>0</v>
      </c>
      <c r="E15" s="7" t="s">
        <v>35</v>
      </c>
      <c r="F15" s="7" t="s">
        <v>35</v>
      </c>
      <c r="G15" s="7" t="s">
        <v>35</v>
      </c>
      <c r="H15" s="7" t="s">
        <v>35</v>
      </c>
    </row>
    <row r="16" customFormat="false" ht="15" hidden="false" customHeight="false" outlineLevel="0" collapsed="false">
      <c r="A16" s="1" t="s">
        <v>207</v>
      </c>
      <c r="B16" s="1" t="s">
        <v>285</v>
      </c>
      <c r="C16" s="7" t="n">
        <v>70</v>
      </c>
      <c r="D16" s="7" t="n">
        <v>25</v>
      </c>
      <c r="E16" s="7" t="n">
        <v>40</v>
      </c>
      <c r="F16" s="7" t="s">
        <v>33</v>
      </c>
      <c r="G16" s="7" t="n">
        <v>50</v>
      </c>
      <c r="H16" s="7" t="n">
        <v>15</v>
      </c>
    </row>
    <row r="17" customFormat="false" ht="15" hidden="false" customHeight="false" outlineLevel="0" collapsed="false">
      <c r="A17" s="1" t="s">
        <v>207</v>
      </c>
      <c r="B17" s="1" t="s">
        <v>279</v>
      </c>
      <c r="C17" s="7" t="n">
        <v>45</v>
      </c>
      <c r="D17" s="7" t="n">
        <v>30</v>
      </c>
      <c r="E17" s="7" t="n">
        <v>25</v>
      </c>
      <c r="F17" s="7" t="n">
        <v>20</v>
      </c>
      <c r="G17" s="7" t="n">
        <v>25</v>
      </c>
      <c r="H17" s="7" t="n">
        <v>50</v>
      </c>
    </row>
    <row r="18" customFormat="false" ht="15" hidden="false" customHeight="false" outlineLevel="0" collapsed="false">
      <c r="A18" s="1" t="s">
        <v>207</v>
      </c>
      <c r="B18" s="1" t="s">
        <v>280</v>
      </c>
      <c r="C18" s="7" t="n">
        <v>15</v>
      </c>
      <c r="D18" s="7" t="n">
        <v>20</v>
      </c>
      <c r="E18" s="7" t="n">
        <v>15</v>
      </c>
      <c r="F18" s="7" t="n">
        <v>10</v>
      </c>
      <c r="G18" s="7" t="n">
        <v>20</v>
      </c>
      <c r="H18" s="7" t="n">
        <v>25</v>
      </c>
    </row>
    <row r="19" customFormat="false" ht="15" hidden="false" customHeight="false" outlineLevel="0" collapsed="false">
      <c r="A19" s="1" t="s">
        <v>209</v>
      </c>
      <c r="B19" s="1" t="s">
        <v>286</v>
      </c>
      <c r="C19" s="7" t="s">
        <v>33</v>
      </c>
      <c r="D19" s="7" t="n">
        <v>10</v>
      </c>
      <c r="E19" s="7" t="n">
        <v>0</v>
      </c>
      <c r="F19" s="7" t="s">
        <v>33</v>
      </c>
      <c r="G19" s="7" t="n">
        <v>40</v>
      </c>
      <c r="H19" s="7" t="n">
        <v>10</v>
      </c>
    </row>
    <row r="20" customFormat="false" ht="15" hidden="false" customHeight="false" outlineLevel="0" collapsed="false">
      <c r="A20" s="1" t="s">
        <v>209</v>
      </c>
      <c r="B20" s="1" t="s">
        <v>287</v>
      </c>
      <c r="C20" s="7" t="n">
        <v>10</v>
      </c>
      <c r="D20" s="7" t="n">
        <v>10</v>
      </c>
      <c r="E20" s="7" t="n">
        <v>15</v>
      </c>
      <c r="F20" s="7" t="n">
        <v>20</v>
      </c>
      <c r="G20" s="7" t="n">
        <v>45</v>
      </c>
      <c r="H20" s="7" t="n">
        <v>40</v>
      </c>
    </row>
    <row r="21" customFormat="false" ht="15" hidden="false" customHeight="false" outlineLevel="0" collapsed="false">
      <c r="A21" s="1" t="s">
        <v>209</v>
      </c>
      <c r="B21" s="1" t="s">
        <v>288</v>
      </c>
      <c r="C21" s="7" t="n">
        <v>25</v>
      </c>
      <c r="D21" s="7" t="n">
        <v>30</v>
      </c>
      <c r="E21" s="7" t="n">
        <v>30</v>
      </c>
      <c r="F21" s="7" t="n">
        <v>5</v>
      </c>
      <c r="G21" s="7" t="n">
        <v>5</v>
      </c>
      <c r="H21" s="7" t="n">
        <v>10</v>
      </c>
    </row>
    <row r="22" customFormat="false" ht="15" hidden="false" customHeight="false" outlineLevel="0" collapsed="false">
      <c r="A22" s="1" t="s">
        <v>209</v>
      </c>
      <c r="B22" s="1" t="s">
        <v>289</v>
      </c>
      <c r="C22" s="7" t="n">
        <v>790</v>
      </c>
      <c r="D22" s="7" t="n">
        <v>715</v>
      </c>
      <c r="E22" s="7" t="n">
        <v>530</v>
      </c>
      <c r="F22" s="7" t="n">
        <v>655</v>
      </c>
      <c r="G22" s="7" t="n">
        <v>395</v>
      </c>
      <c r="H22" s="7" t="n">
        <v>185</v>
      </c>
    </row>
    <row r="23" customFormat="false" ht="15" hidden="false" customHeight="false" outlineLevel="0" collapsed="false">
      <c r="A23" s="1" t="s">
        <v>209</v>
      </c>
      <c r="B23" s="1" t="s">
        <v>290</v>
      </c>
      <c r="C23" s="7" t="n">
        <v>120</v>
      </c>
      <c r="D23" s="7" t="n">
        <v>90</v>
      </c>
      <c r="E23" s="7" t="n">
        <v>160</v>
      </c>
      <c r="F23" s="7" t="n">
        <v>70</v>
      </c>
      <c r="G23" s="7" t="n">
        <v>135</v>
      </c>
      <c r="H23" s="7" t="n">
        <v>170</v>
      </c>
    </row>
    <row r="24" customFormat="false" ht="15" hidden="false" customHeight="false" outlineLevel="0" collapsed="false">
      <c r="A24" s="1" t="s">
        <v>209</v>
      </c>
      <c r="B24" s="1" t="s">
        <v>291</v>
      </c>
      <c r="C24" s="7" t="s">
        <v>35</v>
      </c>
      <c r="D24" s="7" t="s">
        <v>35</v>
      </c>
      <c r="E24" s="7" t="s">
        <v>33</v>
      </c>
      <c r="F24" s="7" t="s">
        <v>33</v>
      </c>
      <c r="G24" s="7" t="n">
        <v>5</v>
      </c>
      <c r="H24" s="7" t="n">
        <v>0</v>
      </c>
    </row>
    <row r="25" customFormat="false" ht="15" hidden="false" customHeight="false" outlineLevel="0" collapsed="false">
      <c r="A25" s="1" t="s">
        <v>209</v>
      </c>
      <c r="B25" s="1" t="s">
        <v>292</v>
      </c>
      <c r="C25" s="7" t="n">
        <v>25</v>
      </c>
      <c r="D25" s="7" t="s">
        <v>35</v>
      </c>
      <c r="E25" s="7" t="s">
        <v>35</v>
      </c>
      <c r="F25" s="7" t="s">
        <v>35</v>
      </c>
      <c r="G25" s="7" t="s">
        <v>35</v>
      </c>
      <c r="H25" s="7" t="s">
        <v>35</v>
      </c>
    </row>
    <row r="26" customFormat="false" ht="15" hidden="false" customHeight="false" outlineLevel="0" collapsed="false">
      <c r="A26" s="1" t="s">
        <v>209</v>
      </c>
      <c r="B26" s="1" t="s">
        <v>293</v>
      </c>
      <c r="C26" s="7" t="n">
        <v>195</v>
      </c>
      <c r="D26" s="7" t="n">
        <v>0</v>
      </c>
      <c r="E26" s="7" t="s">
        <v>33</v>
      </c>
      <c r="F26" s="7" t="n">
        <v>40</v>
      </c>
      <c r="G26" s="7" t="s">
        <v>33</v>
      </c>
      <c r="H26" s="7" t="n">
        <v>10</v>
      </c>
    </row>
    <row r="27" customFormat="false" ht="15" hidden="false" customHeight="false" outlineLevel="0" collapsed="false">
      <c r="A27" s="1" t="s">
        <v>209</v>
      </c>
      <c r="B27" s="1" t="s">
        <v>281</v>
      </c>
      <c r="C27" s="7" t="n">
        <v>180</v>
      </c>
      <c r="D27" s="7" t="n">
        <v>100</v>
      </c>
      <c r="E27" s="7" t="s">
        <v>35</v>
      </c>
      <c r="F27" s="7" t="s">
        <v>35</v>
      </c>
      <c r="G27" s="7" t="s">
        <v>35</v>
      </c>
      <c r="H27" s="7" t="s">
        <v>35</v>
      </c>
    </row>
    <row r="28" customFormat="false" ht="15" hidden="false" customHeight="false" outlineLevel="0" collapsed="false">
      <c r="A28" s="1" t="s">
        <v>209</v>
      </c>
      <c r="B28" s="1" t="s">
        <v>294</v>
      </c>
      <c r="C28" s="7" t="n">
        <v>340</v>
      </c>
      <c r="D28" s="7" t="n">
        <v>330</v>
      </c>
      <c r="E28" s="7" t="n">
        <v>345</v>
      </c>
      <c r="F28" s="7" t="n">
        <v>285</v>
      </c>
      <c r="G28" s="7" t="n">
        <v>225</v>
      </c>
      <c r="H28" s="7" t="n">
        <v>160</v>
      </c>
    </row>
    <row r="29" customFormat="false" ht="15" hidden="false" customHeight="false" outlineLevel="0" collapsed="false">
      <c r="A29" s="1" t="s">
        <v>209</v>
      </c>
      <c r="B29" s="1" t="s">
        <v>295</v>
      </c>
      <c r="C29" s="7" t="n">
        <v>15</v>
      </c>
      <c r="D29" s="7" t="n">
        <v>0</v>
      </c>
      <c r="E29" s="7" t="s">
        <v>33</v>
      </c>
      <c r="F29" s="7" t="n">
        <v>0</v>
      </c>
      <c r="G29" s="7" t="n">
        <v>55</v>
      </c>
      <c r="H29" s="7" t="n">
        <v>95</v>
      </c>
    </row>
    <row r="30" customFormat="false" ht="15" hidden="false" customHeight="false" outlineLevel="0" collapsed="false">
      <c r="A30" s="1" t="s">
        <v>209</v>
      </c>
      <c r="B30" s="1" t="s">
        <v>296</v>
      </c>
      <c r="C30" s="7" t="n">
        <v>650</v>
      </c>
      <c r="D30" s="7" t="n">
        <v>480</v>
      </c>
      <c r="E30" s="7" t="n">
        <v>370</v>
      </c>
      <c r="F30" s="7" t="n">
        <v>135</v>
      </c>
      <c r="G30" s="7" t="n">
        <v>30</v>
      </c>
      <c r="H30" s="7" t="s">
        <v>35</v>
      </c>
    </row>
    <row r="31" customFormat="false" ht="15" hidden="false" customHeight="false" outlineLevel="0" collapsed="false">
      <c r="A31" s="1" t="s">
        <v>209</v>
      </c>
      <c r="B31" s="1" t="s">
        <v>297</v>
      </c>
      <c r="C31" s="7" t="n">
        <v>205</v>
      </c>
      <c r="D31" s="7" t="n">
        <v>110</v>
      </c>
      <c r="E31" s="7" t="n">
        <v>140</v>
      </c>
      <c r="F31" s="7" t="n">
        <v>75</v>
      </c>
      <c r="G31" s="7" t="n">
        <v>205</v>
      </c>
      <c r="H31" s="7" t="n">
        <v>205</v>
      </c>
    </row>
    <row r="32" customFormat="false" ht="15" hidden="false" customHeight="false" outlineLevel="0" collapsed="false">
      <c r="A32" s="1" t="s">
        <v>209</v>
      </c>
      <c r="B32" s="1" t="s">
        <v>298</v>
      </c>
      <c r="C32" s="7" t="s">
        <v>35</v>
      </c>
      <c r="D32" s="7" t="s">
        <v>35</v>
      </c>
      <c r="E32" s="7" t="n">
        <v>0</v>
      </c>
      <c r="F32" s="7" t="n">
        <v>0</v>
      </c>
      <c r="G32" s="7" t="n">
        <v>0</v>
      </c>
      <c r="H32" s="7" t="n">
        <v>10</v>
      </c>
    </row>
    <row r="33" customFormat="false" ht="15" hidden="false" customHeight="false" outlineLevel="0" collapsed="false">
      <c r="A33" s="1" t="s">
        <v>209</v>
      </c>
      <c r="B33" s="1" t="s">
        <v>231</v>
      </c>
      <c r="C33" s="7" t="n">
        <v>95</v>
      </c>
      <c r="D33" s="7" t="n">
        <v>95</v>
      </c>
      <c r="E33" s="7" t="n">
        <v>145</v>
      </c>
      <c r="F33" s="7" t="n">
        <v>210</v>
      </c>
      <c r="G33" s="7" t="n">
        <v>155</v>
      </c>
      <c r="H33" s="7" t="n">
        <v>70</v>
      </c>
    </row>
    <row r="34" customFormat="false" ht="15" hidden="false" customHeight="false" outlineLevel="0" collapsed="false">
      <c r="A34" s="1" t="s">
        <v>209</v>
      </c>
      <c r="B34" s="1" t="s">
        <v>299</v>
      </c>
      <c r="C34" s="7" t="n">
        <v>425</v>
      </c>
      <c r="D34" s="7" t="n">
        <v>520</v>
      </c>
      <c r="E34" s="7" t="n">
        <v>595</v>
      </c>
      <c r="F34" s="7" t="n">
        <v>495</v>
      </c>
      <c r="G34" s="7" t="n">
        <v>75</v>
      </c>
      <c r="H34" s="7" t="s">
        <v>35</v>
      </c>
    </row>
    <row r="35" customFormat="false" ht="15" hidden="false" customHeight="false" outlineLevel="0" collapsed="false">
      <c r="A35" s="1" t="s">
        <v>209</v>
      </c>
      <c r="B35" s="1" t="s">
        <v>300</v>
      </c>
      <c r="C35" s="7" t="n">
        <v>115</v>
      </c>
      <c r="D35" s="7" t="n">
        <v>70</v>
      </c>
      <c r="E35" s="7" t="n">
        <v>70</v>
      </c>
      <c r="F35" s="7" t="n">
        <v>90</v>
      </c>
      <c r="G35" s="7" t="n">
        <v>55</v>
      </c>
      <c r="H35" s="7" t="n">
        <v>90</v>
      </c>
    </row>
    <row r="36" customFormat="false" ht="15" hidden="false" customHeight="false" outlineLevel="0" collapsed="false">
      <c r="A36" s="1" t="s">
        <v>209</v>
      </c>
      <c r="B36" s="1" t="s">
        <v>158</v>
      </c>
      <c r="C36" s="7" t="n">
        <v>130</v>
      </c>
      <c r="D36" s="7" t="n">
        <v>130</v>
      </c>
      <c r="E36" s="7" t="n">
        <v>120</v>
      </c>
      <c r="F36" s="7" t="n">
        <v>115</v>
      </c>
      <c r="G36" s="7" t="n">
        <v>175</v>
      </c>
      <c r="H36" s="7" t="n">
        <v>125</v>
      </c>
    </row>
    <row r="37" customFormat="false" ht="15" hidden="false" customHeight="false" outlineLevel="0" collapsed="false">
      <c r="A37" s="1" t="s">
        <v>209</v>
      </c>
      <c r="B37" s="1" t="s">
        <v>301</v>
      </c>
      <c r="C37" s="7" t="n">
        <v>50</v>
      </c>
      <c r="D37" s="7" t="n">
        <v>100</v>
      </c>
      <c r="E37" s="7" t="n">
        <v>110</v>
      </c>
      <c r="F37" s="7" t="n">
        <v>110</v>
      </c>
      <c r="G37" s="7" t="n">
        <v>5</v>
      </c>
      <c r="H37" s="7" t="s">
        <v>35</v>
      </c>
    </row>
    <row r="38" customFormat="false" ht="15" hidden="false" customHeight="false" outlineLevel="0" collapsed="false">
      <c r="A38" s="1" t="s">
        <v>209</v>
      </c>
      <c r="B38" s="1" t="s">
        <v>302</v>
      </c>
      <c r="C38" s="7" t="n">
        <v>0</v>
      </c>
      <c r="D38" s="7" t="s">
        <v>33</v>
      </c>
      <c r="E38" s="7" t="s">
        <v>35</v>
      </c>
      <c r="F38" s="7" t="s">
        <v>35</v>
      </c>
      <c r="G38" s="7" t="s">
        <v>35</v>
      </c>
      <c r="H38" s="7" t="s">
        <v>35</v>
      </c>
    </row>
    <row r="39" customFormat="false" ht="15" hidden="false" customHeight="false" outlineLevel="0" collapsed="false">
      <c r="A39" s="1" t="s">
        <v>209</v>
      </c>
      <c r="B39" s="1" t="s">
        <v>303</v>
      </c>
      <c r="C39" s="7" t="n">
        <v>95</v>
      </c>
      <c r="D39" s="7" t="n">
        <v>70</v>
      </c>
      <c r="E39" s="7" t="n">
        <v>60</v>
      </c>
      <c r="F39" s="7" t="n">
        <v>25</v>
      </c>
      <c r="G39" s="7" t="n">
        <v>45</v>
      </c>
      <c r="H39" s="7" t="n">
        <v>15</v>
      </c>
    </row>
    <row r="40" customFormat="false" ht="15" hidden="false" customHeight="false" outlineLevel="0" collapsed="false">
      <c r="A40" s="1" t="s">
        <v>209</v>
      </c>
      <c r="B40" s="1" t="s">
        <v>304</v>
      </c>
      <c r="C40" s="7" t="s">
        <v>35</v>
      </c>
      <c r="D40" s="7" t="s">
        <v>35</v>
      </c>
      <c r="E40" s="7" t="s">
        <v>35</v>
      </c>
      <c r="F40" s="7" t="n">
        <v>0</v>
      </c>
      <c r="G40" s="7" t="n">
        <v>0</v>
      </c>
      <c r="H40" s="7" t="n">
        <v>35</v>
      </c>
    </row>
    <row r="41" customFormat="false" ht="15" hidden="false" customHeight="false" outlineLevel="0" collapsed="false">
      <c r="A41" s="1" t="s">
        <v>209</v>
      </c>
      <c r="B41" s="1" t="s">
        <v>305</v>
      </c>
      <c r="C41" s="7" t="n">
        <v>5</v>
      </c>
      <c r="D41" s="7" t="n">
        <v>10</v>
      </c>
      <c r="E41" s="7" t="n">
        <v>45</v>
      </c>
      <c r="F41" s="7" t="n">
        <v>25</v>
      </c>
      <c r="G41" s="7" t="s">
        <v>33</v>
      </c>
      <c r="H41" s="7" t="n">
        <v>0</v>
      </c>
    </row>
    <row r="42" customFormat="false" ht="15" hidden="false" customHeight="false" outlineLevel="0" collapsed="false">
      <c r="A42" s="1" t="s">
        <v>209</v>
      </c>
      <c r="B42" s="1" t="s">
        <v>284</v>
      </c>
      <c r="C42" s="7" t="n">
        <v>95</v>
      </c>
      <c r="D42" s="7" t="n">
        <v>160</v>
      </c>
      <c r="E42" s="7" t="n">
        <v>125</v>
      </c>
      <c r="F42" s="7" t="n">
        <v>155</v>
      </c>
      <c r="G42" s="7" t="n">
        <v>220</v>
      </c>
      <c r="H42" s="7" t="n">
        <v>295</v>
      </c>
    </row>
    <row r="43" customFormat="false" ht="15" hidden="false" customHeight="false" outlineLevel="0" collapsed="false">
      <c r="A43" s="1" t="s">
        <v>209</v>
      </c>
      <c r="B43" s="1" t="s">
        <v>306</v>
      </c>
      <c r="C43" s="7" t="n">
        <v>30</v>
      </c>
      <c r="D43" s="7" t="s">
        <v>33</v>
      </c>
      <c r="E43" s="7" t="s">
        <v>35</v>
      </c>
      <c r="F43" s="7" t="s">
        <v>35</v>
      </c>
      <c r="G43" s="7" t="s">
        <v>35</v>
      </c>
      <c r="H43" s="7" t="s">
        <v>35</v>
      </c>
    </row>
    <row r="44" customFormat="false" ht="15" hidden="false" customHeight="false" outlineLevel="0" collapsed="false">
      <c r="A44" s="1" t="s">
        <v>209</v>
      </c>
      <c r="B44" s="1" t="s">
        <v>307</v>
      </c>
      <c r="C44" s="7" t="n">
        <v>10</v>
      </c>
      <c r="D44" s="7" t="n">
        <v>15</v>
      </c>
      <c r="E44" s="7" t="s">
        <v>33</v>
      </c>
      <c r="F44" s="7" t="n">
        <v>25</v>
      </c>
      <c r="G44" s="7" t="n">
        <v>10</v>
      </c>
      <c r="H44" s="7" t="n">
        <v>0</v>
      </c>
    </row>
    <row r="45" customFormat="false" ht="15" hidden="false" customHeight="false" outlineLevel="0" collapsed="false">
      <c r="A45" s="1" t="s">
        <v>209</v>
      </c>
      <c r="B45" s="1" t="s">
        <v>308</v>
      </c>
      <c r="C45" s="7" t="n">
        <v>175</v>
      </c>
      <c r="D45" s="7" t="n">
        <v>120</v>
      </c>
      <c r="E45" s="7" t="n">
        <v>50</v>
      </c>
      <c r="F45" s="7" t="n">
        <v>45</v>
      </c>
      <c r="G45" s="7" t="n">
        <v>90</v>
      </c>
      <c r="H45" s="7" t="n">
        <v>45</v>
      </c>
    </row>
    <row r="46" customFormat="false" ht="15" hidden="false" customHeight="false" outlineLevel="0" collapsed="false">
      <c r="A46" s="1" t="s">
        <v>209</v>
      </c>
      <c r="B46" s="1" t="s">
        <v>309</v>
      </c>
      <c r="C46" s="7" t="n">
        <v>195</v>
      </c>
      <c r="D46" s="7" t="n">
        <v>125</v>
      </c>
      <c r="E46" s="7" t="n">
        <v>70</v>
      </c>
      <c r="F46" s="7" t="n">
        <v>55</v>
      </c>
      <c r="G46" s="7" t="n">
        <v>70</v>
      </c>
      <c r="H46" s="7" t="n">
        <v>75</v>
      </c>
    </row>
    <row r="47" customFormat="false" ht="15" hidden="false" customHeight="false" outlineLevel="0" collapsed="false">
      <c r="A47" s="1" t="s">
        <v>209</v>
      </c>
      <c r="B47" s="1" t="s">
        <v>310</v>
      </c>
      <c r="C47" s="7" t="s">
        <v>35</v>
      </c>
      <c r="D47" s="7" t="s">
        <v>35</v>
      </c>
      <c r="E47" s="7" t="s">
        <v>35</v>
      </c>
      <c r="F47" s="7" t="s">
        <v>35</v>
      </c>
      <c r="G47" s="7" t="s">
        <v>35</v>
      </c>
      <c r="H47" s="7" t="s">
        <v>33</v>
      </c>
    </row>
    <row r="48" customFormat="false" ht="15" hidden="false" customHeight="false" outlineLevel="0" collapsed="false">
      <c r="A48" s="1" t="s">
        <v>209</v>
      </c>
      <c r="B48" s="1" t="s">
        <v>311</v>
      </c>
      <c r="C48" s="7" t="s">
        <v>33</v>
      </c>
      <c r="D48" s="7" t="s">
        <v>33</v>
      </c>
      <c r="E48" s="7" t="s">
        <v>33</v>
      </c>
      <c r="F48" s="7" t="s">
        <v>33</v>
      </c>
      <c r="G48" s="7" t="n">
        <v>5</v>
      </c>
      <c r="H48" s="7" t="s">
        <v>33</v>
      </c>
    </row>
    <row r="49" customFormat="false" ht="15" hidden="false" customHeight="false" outlineLevel="0" collapsed="false">
      <c r="A49" s="1" t="s">
        <v>209</v>
      </c>
      <c r="B49" s="1" t="s">
        <v>312</v>
      </c>
      <c r="C49" s="7" t="n">
        <v>325</v>
      </c>
      <c r="D49" s="7" t="n">
        <v>225</v>
      </c>
      <c r="E49" s="7" t="n">
        <v>155</v>
      </c>
      <c r="F49" s="7" t="n">
        <v>220</v>
      </c>
      <c r="G49" s="7" t="n">
        <v>185</v>
      </c>
      <c r="H49" s="7" t="n">
        <v>120</v>
      </c>
    </row>
    <row r="50" customFormat="false" ht="15" hidden="false" customHeight="false" outlineLevel="0" collapsed="false">
      <c r="A50" s="1" t="s">
        <v>209</v>
      </c>
      <c r="B50" s="1" t="s">
        <v>313</v>
      </c>
      <c r="C50" s="7" t="s">
        <v>35</v>
      </c>
      <c r="D50" s="7" t="s">
        <v>35</v>
      </c>
      <c r="E50" s="7" t="s">
        <v>35</v>
      </c>
      <c r="F50" s="7" t="s">
        <v>35</v>
      </c>
      <c r="G50" s="7" t="n">
        <v>15</v>
      </c>
      <c r="H50" s="7" t="n">
        <v>45</v>
      </c>
    </row>
    <row r="51" customFormat="false" ht="15" hidden="false" customHeight="false" outlineLevel="0" collapsed="false">
      <c r="A51" s="1" t="s">
        <v>209</v>
      </c>
      <c r="B51" s="1" t="s">
        <v>169</v>
      </c>
      <c r="C51" s="7" t="n">
        <v>340</v>
      </c>
      <c r="D51" s="7" t="n">
        <v>285</v>
      </c>
      <c r="E51" s="7" t="n">
        <v>160</v>
      </c>
      <c r="F51" s="7" t="n">
        <v>295</v>
      </c>
      <c r="G51" s="7" t="n">
        <v>230</v>
      </c>
      <c r="H51" s="7" t="n">
        <v>185</v>
      </c>
    </row>
    <row r="52" customFormat="false" ht="15" hidden="false" customHeight="false" outlineLevel="0" collapsed="false">
      <c r="A52" s="1" t="s">
        <v>209</v>
      </c>
      <c r="B52" s="1" t="s">
        <v>285</v>
      </c>
      <c r="C52" s="7" t="n">
        <v>220</v>
      </c>
      <c r="D52" s="7" t="n">
        <v>205</v>
      </c>
      <c r="E52" s="7" t="n">
        <v>120</v>
      </c>
      <c r="F52" s="7" t="n">
        <v>95</v>
      </c>
      <c r="G52" s="7" t="n">
        <v>125</v>
      </c>
      <c r="H52" s="7" t="n">
        <v>115</v>
      </c>
    </row>
    <row r="53" customFormat="false" ht="15" hidden="false" customHeight="false" outlineLevel="0" collapsed="false">
      <c r="A53" s="1" t="s">
        <v>209</v>
      </c>
      <c r="B53" s="1" t="s">
        <v>314</v>
      </c>
      <c r="C53" s="7" t="n">
        <v>195</v>
      </c>
      <c r="D53" s="7" t="n">
        <v>180</v>
      </c>
      <c r="E53" s="7" t="n">
        <v>100</v>
      </c>
      <c r="F53" s="7" t="n">
        <v>70</v>
      </c>
      <c r="G53" s="7" t="n">
        <v>45</v>
      </c>
      <c r="H53" s="7" t="n">
        <v>20</v>
      </c>
    </row>
    <row r="54" customFormat="false" ht="15" hidden="false" customHeight="false" outlineLevel="0" collapsed="false">
      <c r="A54" s="1" t="s">
        <v>209</v>
      </c>
      <c r="B54" s="1" t="s">
        <v>315</v>
      </c>
      <c r="C54" s="7" t="n">
        <v>80</v>
      </c>
      <c r="D54" s="7" t="n">
        <v>100</v>
      </c>
      <c r="E54" s="7" t="n">
        <v>70</v>
      </c>
      <c r="F54" s="7" t="n">
        <v>100</v>
      </c>
      <c r="G54" s="7" t="n">
        <v>50</v>
      </c>
      <c r="H54" s="7" t="n">
        <v>25</v>
      </c>
    </row>
    <row r="55" customFormat="false" ht="15" hidden="false" customHeight="false" outlineLevel="0" collapsed="false">
      <c r="A55" s="1" t="s">
        <v>209</v>
      </c>
      <c r="B55" s="1" t="s">
        <v>279</v>
      </c>
      <c r="C55" s="7" t="n">
        <v>105</v>
      </c>
      <c r="D55" s="7" t="n">
        <v>100</v>
      </c>
      <c r="E55" s="7" t="n">
        <v>40</v>
      </c>
      <c r="F55" s="7" t="n">
        <v>75</v>
      </c>
      <c r="G55" s="7" t="n">
        <v>75</v>
      </c>
      <c r="H55" s="7" t="n">
        <v>100</v>
      </c>
    </row>
    <row r="56" customFormat="false" ht="15" hidden="false" customHeight="false" outlineLevel="0" collapsed="false">
      <c r="A56" s="1" t="s">
        <v>209</v>
      </c>
      <c r="B56" s="1" t="s">
        <v>280</v>
      </c>
      <c r="C56" s="7" t="n">
        <v>20</v>
      </c>
      <c r="D56" s="7" t="n">
        <v>10</v>
      </c>
      <c r="E56" s="7" t="n">
        <v>5</v>
      </c>
      <c r="F56" s="7" t="n">
        <v>15</v>
      </c>
      <c r="G56" s="7" t="n">
        <v>20</v>
      </c>
      <c r="H56" s="7" t="n">
        <v>25</v>
      </c>
    </row>
    <row r="57" customFormat="false" ht="15" hidden="false" customHeight="false" outlineLevel="0" collapsed="false">
      <c r="A57" s="1" t="s">
        <v>209</v>
      </c>
      <c r="B57" s="1" t="s">
        <v>316</v>
      </c>
      <c r="C57" s="7" t="s">
        <v>33</v>
      </c>
      <c r="D57" s="7" t="n">
        <v>0</v>
      </c>
      <c r="E57" s="7" t="n">
        <v>0</v>
      </c>
      <c r="F57" s="7" t="n">
        <v>0</v>
      </c>
      <c r="G57" s="7" t="n">
        <v>0</v>
      </c>
      <c r="H57" s="7" t="n">
        <v>0</v>
      </c>
    </row>
    <row r="58" customFormat="false" ht="15" hidden="false" customHeight="false" outlineLevel="0" collapsed="false">
      <c r="A58" s="1" t="s">
        <v>209</v>
      </c>
      <c r="B58" s="1" t="s">
        <v>317</v>
      </c>
      <c r="C58" s="7" t="n">
        <v>20</v>
      </c>
      <c r="D58" s="7" t="n">
        <v>5</v>
      </c>
      <c r="E58" s="7" t="n">
        <v>25</v>
      </c>
      <c r="F58" s="7" t="n">
        <v>0</v>
      </c>
      <c r="G58" s="7" t="n">
        <v>10</v>
      </c>
      <c r="H58" s="7" t="n">
        <v>20</v>
      </c>
    </row>
    <row r="59" customFormat="false" ht="15" hidden="false" customHeight="false" outlineLevel="0" collapsed="false">
      <c r="A59" s="1" t="s">
        <v>209</v>
      </c>
      <c r="B59" s="1" t="s">
        <v>318</v>
      </c>
      <c r="C59" s="7" t="n">
        <v>5</v>
      </c>
      <c r="D59" s="7" t="n">
        <v>0</v>
      </c>
      <c r="E59" s="7" t="n">
        <v>10</v>
      </c>
      <c r="F59" s="7" t="s">
        <v>33</v>
      </c>
      <c r="G59" s="7" t="s">
        <v>33</v>
      </c>
      <c r="H59" s="7" t="n">
        <v>10</v>
      </c>
    </row>
    <row r="60" customFormat="false" ht="15" hidden="false" customHeight="false" outlineLevel="0" collapsed="false">
      <c r="A60" s="1" t="s">
        <v>209</v>
      </c>
      <c r="B60" s="1" t="s">
        <v>319</v>
      </c>
      <c r="C60" s="7" t="n">
        <v>0</v>
      </c>
      <c r="D60" s="7" t="n">
        <v>0</v>
      </c>
      <c r="E60" s="7" t="s">
        <v>33</v>
      </c>
      <c r="F60" s="7" t="n">
        <v>0</v>
      </c>
      <c r="G60" s="7" t="s">
        <v>33</v>
      </c>
      <c r="H60" s="7" t="n">
        <v>0</v>
      </c>
    </row>
    <row r="61" customFormat="false" ht="15" hidden="false" customHeight="false" outlineLevel="0" collapsed="false">
      <c r="A61" s="1" t="s">
        <v>209</v>
      </c>
      <c r="B61" s="1" t="s">
        <v>320</v>
      </c>
      <c r="C61" s="7" t="n">
        <v>0</v>
      </c>
      <c r="D61" s="7" t="n">
        <v>0</v>
      </c>
      <c r="E61" s="7" t="n">
        <v>5</v>
      </c>
      <c r="F61" s="7" t="n">
        <v>0</v>
      </c>
      <c r="G61" s="7" t="n">
        <v>15</v>
      </c>
      <c r="H61" s="7" t="n">
        <v>5</v>
      </c>
    </row>
    <row r="62" customFormat="false" ht="15" hidden="false" customHeight="false" outlineLevel="0" collapsed="false">
      <c r="A62" s="1" t="s">
        <v>209</v>
      </c>
      <c r="B62" s="1" t="s">
        <v>321</v>
      </c>
      <c r="C62" s="7" t="n">
        <v>0</v>
      </c>
      <c r="D62" s="7" t="n">
        <v>0</v>
      </c>
      <c r="E62" s="7" t="n">
        <v>0</v>
      </c>
      <c r="F62" s="7" t="n">
        <v>0</v>
      </c>
      <c r="G62" s="7" t="s">
        <v>33</v>
      </c>
      <c r="H62" s="7" t="s">
        <v>33</v>
      </c>
    </row>
    <row r="63" customFormat="false" ht="15" hidden="false" customHeight="false" outlineLevel="0" collapsed="false">
      <c r="A63" s="1" t="s">
        <v>209</v>
      </c>
      <c r="B63" s="1" t="s">
        <v>322</v>
      </c>
      <c r="C63" s="7" t="s">
        <v>33</v>
      </c>
      <c r="D63" s="7" t="n">
        <v>40</v>
      </c>
      <c r="E63" s="7" t="n">
        <v>20</v>
      </c>
      <c r="F63" s="7" t="n">
        <v>0</v>
      </c>
      <c r="G63" s="7" t="n">
        <v>25</v>
      </c>
      <c r="H63" s="7" t="n">
        <v>45</v>
      </c>
    </row>
    <row r="64" customFormat="false" ht="15" hidden="false" customHeight="false" outlineLevel="0" collapsed="false">
      <c r="A64" s="1" t="s">
        <v>209</v>
      </c>
      <c r="B64" s="1" t="s">
        <v>323</v>
      </c>
      <c r="C64" s="7" t="n">
        <v>0</v>
      </c>
      <c r="D64" s="7" t="n">
        <v>40</v>
      </c>
      <c r="E64" s="7" t="n">
        <v>45</v>
      </c>
      <c r="F64" s="7" t="s">
        <v>33</v>
      </c>
      <c r="G64" s="7" t="n">
        <v>105</v>
      </c>
      <c r="H64" s="7" t="n">
        <v>165</v>
      </c>
    </row>
    <row r="65" customFormat="false" ht="15" hidden="false" customHeight="false" outlineLevel="0" collapsed="false">
      <c r="A65" s="1" t="s">
        <v>209</v>
      </c>
      <c r="B65" s="1" t="s">
        <v>324</v>
      </c>
      <c r="C65" s="7" t="n">
        <v>0</v>
      </c>
      <c r="D65" s="7" t="n">
        <v>0</v>
      </c>
      <c r="E65" s="7" t="n">
        <v>0</v>
      </c>
      <c r="F65" s="7" t="n">
        <v>5</v>
      </c>
      <c r="G65" s="7" t="n">
        <v>15</v>
      </c>
      <c r="H65" s="7" t="n">
        <v>5</v>
      </c>
    </row>
    <row r="66" customFormat="false" ht="15" hidden="false" customHeight="false" outlineLevel="0" collapsed="false">
      <c r="A66" s="1" t="s">
        <v>209</v>
      </c>
      <c r="B66" s="1" t="s">
        <v>325</v>
      </c>
      <c r="C66" s="7" t="n">
        <v>0</v>
      </c>
      <c r="D66" s="7" t="n">
        <v>0</v>
      </c>
      <c r="E66" s="7" t="n">
        <v>0</v>
      </c>
      <c r="F66" s="7" t="n">
        <v>0</v>
      </c>
      <c r="G66" s="7" t="n">
        <v>0</v>
      </c>
      <c r="H66" s="7" t="n">
        <v>25</v>
      </c>
    </row>
    <row r="67" customFormat="false" ht="15" hidden="false" customHeight="false" outlineLevel="0" collapsed="false">
      <c r="A67" s="1" t="s">
        <v>209</v>
      </c>
      <c r="B67" s="1" t="s">
        <v>326</v>
      </c>
      <c r="C67" s="7" t="n">
        <v>10</v>
      </c>
      <c r="D67" s="7" t="s">
        <v>33</v>
      </c>
      <c r="E67" s="7" t="n">
        <v>15</v>
      </c>
      <c r="F67" s="7" t="n">
        <v>5</v>
      </c>
      <c r="G67" s="7" t="n">
        <v>10</v>
      </c>
      <c r="H67" s="7" t="n">
        <v>15</v>
      </c>
    </row>
    <row r="68" customFormat="false" ht="15" hidden="false" customHeight="false" outlineLevel="0" collapsed="false">
      <c r="A68" s="1" t="s">
        <v>209</v>
      </c>
      <c r="B68" s="1" t="s">
        <v>327</v>
      </c>
      <c r="C68" s="7" t="n">
        <v>40</v>
      </c>
      <c r="D68" s="7" t="n">
        <v>90</v>
      </c>
      <c r="E68" s="7" t="n">
        <v>125</v>
      </c>
      <c r="F68" s="7" t="n">
        <v>35</v>
      </c>
      <c r="G68" s="7" t="n">
        <v>55</v>
      </c>
      <c r="H68" s="7" t="n">
        <v>85</v>
      </c>
    </row>
    <row r="69" customFormat="false" ht="15" hidden="false" customHeight="false" outlineLevel="0" collapsed="false">
      <c r="A69" s="1" t="s">
        <v>209</v>
      </c>
      <c r="B69" s="1" t="s">
        <v>328</v>
      </c>
      <c r="C69" s="7" t="n">
        <v>0</v>
      </c>
      <c r="D69" s="7" t="n">
        <v>5</v>
      </c>
      <c r="E69" s="7" t="n">
        <v>10</v>
      </c>
      <c r="F69" s="7" t="n">
        <v>0</v>
      </c>
      <c r="G69" s="7" t="n">
        <v>15</v>
      </c>
      <c r="H69" s="7" t="n">
        <v>5</v>
      </c>
    </row>
    <row r="70" customFormat="false" ht="15" hidden="false" customHeight="false" outlineLevel="0" collapsed="false">
      <c r="A70" s="1" t="s">
        <v>209</v>
      </c>
      <c r="B70" s="1" t="s">
        <v>329</v>
      </c>
      <c r="C70" s="7" t="n">
        <v>0</v>
      </c>
      <c r="D70" s="7" t="n">
        <v>15</v>
      </c>
      <c r="E70" s="7" t="n">
        <v>15</v>
      </c>
      <c r="F70" s="7" t="n">
        <v>0</v>
      </c>
      <c r="G70" s="7" t="n">
        <v>0</v>
      </c>
      <c r="H70" s="7" t="n">
        <v>10</v>
      </c>
    </row>
    <row r="71" customFormat="false" ht="15" hidden="false" customHeight="false" outlineLevel="0" collapsed="false">
      <c r="A71" s="1" t="s">
        <v>209</v>
      </c>
      <c r="B71" s="1" t="s">
        <v>330</v>
      </c>
      <c r="C71" s="7" t="n">
        <v>45</v>
      </c>
      <c r="D71" s="7" t="n">
        <v>35</v>
      </c>
      <c r="E71" s="7" t="n">
        <v>35</v>
      </c>
      <c r="F71" s="7" t="s">
        <v>33</v>
      </c>
      <c r="G71" s="7" t="n">
        <v>25</v>
      </c>
      <c r="H71" s="7" t="n">
        <v>45</v>
      </c>
    </row>
    <row r="72" customFormat="false" ht="15" hidden="false" customHeight="false" outlineLevel="0" collapsed="false">
      <c r="A72" s="1" t="s">
        <v>209</v>
      </c>
      <c r="B72" s="1" t="s">
        <v>331</v>
      </c>
      <c r="C72" s="7" t="n">
        <v>0</v>
      </c>
      <c r="D72" s="7" t="n">
        <v>5</v>
      </c>
      <c r="E72" s="7" t="s">
        <v>33</v>
      </c>
      <c r="F72" s="7" t="n">
        <v>5</v>
      </c>
      <c r="G72" s="7" t="n">
        <v>20</v>
      </c>
      <c r="H72" s="7" t="n">
        <v>30</v>
      </c>
    </row>
    <row r="73" customFormat="false" ht="15" hidden="false" customHeight="false" outlineLevel="0" collapsed="false">
      <c r="A73" s="1" t="s">
        <v>209</v>
      </c>
      <c r="B73" s="1" t="s">
        <v>332</v>
      </c>
      <c r="C73" s="7" t="n">
        <v>20</v>
      </c>
      <c r="D73" s="7" t="n">
        <v>80</v>
      </c>
      <c r="E73" s="7" t="n">
        <v>65</v>
      </c>
      <c r="F73" s="7" t="n">
        <v>0</v>
      </c>
      <c r="G73" s="7" t="n">
        <v>55</v>
      </c>
      <c r="H73" s="7" t="n">
        <v>85</v>
      </c>
    </row>
    <row r="74" customFormat="false" ht="15" hidden="false" customHeight="false" outlineLevel="0" collapsed="false">
      <c r="A74" s="1" t="s">
        <v>209</v>
      </c>
      <c r="B74" s="1" t="s">
        <v>333</v>
      </c>
      <c r="C74" s="7" t="n">
        <v>15</v>
      </c>
      <c r="D74" s="7" t="n">
        <v>35</v>
      </c>
      <c r="E74" s="7" t="n">
        <v>35</v>
      </c>
      <c r="F74" s="7" t="n">
        <v>0</v>
      </c>
      <c r="G74" s="7" t="n">
        <v>15</v>
      </c>
      <c r="H74" s="7" t="n">
        <v>35</v>
      </c>
    </row>
    <row r="75" customFormat="false" ht="15" hidden="false" customHeight="false" outlineLevel="0" collapsed="false">
      <c r="A75" s="1" t="s">
        <v>209</v>
      </c>
      <c r="B75" s="1" t="s">
        <v>334</v>
      </c>
      <c r="C75" s="7" t="n">
        <v>0</v>
      </c>
      <c r="D75" s="7" t="s">
        <v>33</v>
      </c>
      <c r="E75" s="7" t="n">
        <v>0</v>
      </c>
      <c r="F75" s="7" t="s">
        <v>33</v>
      </c>
      <c r="G75" s="7" t="s">
        <v>33</v>
      </c>
      <c r="H75" s="7" t="n">
        <v>0</v>
      </c>
    </row>
    <row r="76" customFormat="false" ht="15" hidden="false" customHeight="false" outlineLevel="0" collapsed="false">
      <c r="A76" s="1" t="s">
        <v>209</v>
      </c>
      <c r="B76" s="1" t="s">
        <v>335</v>
      </c>
      <c r="C76" s="7" t="n">
        <v>0</v>
      </c>
      <c r="D76" s="7" t="n">
        <v>0</v>
      </c>
      <c r="E76" s="7" t="n">
        <v>0</v>
      </c>
      <c r="F76" s="7" t="n">
        <v>0</v>
      </c>
      <c r="G76" s="7" t="s">
        <v>33</v>
      </c>
      <c r="H76" s="7" t="n">
        <v>15</v>
      </c>
    </row>
    <row r="77" customFormat="false" ht="15" hidden="false" customHeight="false" outlineLevel="0" collapsed="false">
      <c r="A77" s="1" t="s">
        <v>209</v>
      </c>
      <c r="B77" s="1" t="s">
        <v>336</v>
      </c>
      <c r="C77" s="7" t="n">
        <v>0</v>
      </c>
      <c r="D77" s="7" t="n">
        <v>0</v>
      </c>
      <c r="E77" s="7" t="n">
        <v>10</v>
      </c>
      <c r="F77" s="7" t="n">
        <v>0</v>
      </c>
      <c r="G77" s="7" t="s">
        <v>33</v>
      </c>
      <c r="H77" s="7" t="n">
        <v>10</v>
      </c>
    </row>
    <row r="78" customFormat="false" ht="15" hidden="false" customHeight="false" outlineLevel="0" collapsed="false">
      <c r="A78" s="1" t="s">
        <v>209</v>
      </c>
      <c r="B78" s="1" t="s">
        <v>337</v>
      </c>
      <c r="C78" s="7" t="n">
        <v>20</v>
      </c>
      <c r="D78" s="7" t="n">
        <v>35</v>
      </c>
      <c r="E78" s="7" t="n">
        <v>10</v>
      </c>
      <c r="F78" s="7" t="s">
        <v>33</v>
      </c>
      <c r="G78" s="7" t="n">
        <v>30</v>
      </c>
      <c r="H78" s="7" t="n">
        <v>45</v>
      </c>
    </row>
    <row r="79" customFormat="false" ht="15" hidden="false" customHeight="false" outlineLevel="0" collapsed="false">
      <c r="A79" s="1" t="s">
        <v>209</v>
      </c>
      <c r="B79" s="1" t="s">
        <v>338</v>
      </c>
      <c r="C79" s="7" t="n">
        <v>40</v>
      </c>
      <c r="D79" s="7" t="n">
        <v>135</v>
      </c>
      <c r="E79" s="7" t="n">
        <v>95</v>
      </c>
      <c r="F79" s="7" t="n">
        <v>0</v>
      </c>
      <c r="G79" s="7" t="n">
        <v>85</v>
      </c>
      <c r="H79" s="7" t="n">
        <v>95</v>
      </c>
    </row>
    <row r="80" customFormat="false" ht="15" hidden="false" customHeight="false" outlineLevel="0" collapsed="false">
      <c r="A80" s="1" t="s">
        <v>209</v>
      </c>
      <c r="B80" s="1" t="s">
        <v>339</v>
      </c>
      <c r="C80" s="7" t="n">
        <v>0</v>
      </c>
      <c r="D80" s="7" t="n">
        <v>0</v>
      </c>
      <c r="E80" s="7" t="n">
        <v>0</v>
      </c>
      <c r="F80" s="7" t="n">
        <v>0</v>
      </c>
      <c r="G80" s="7" t="n">
        <v>0</v>
      </c>
      <c r="H80" s="7" t="n">
        <v>25</v>
      </c>
    </row>
    <row r="81" customFormat="false" ht="15" hidden="false" customHeight="false" outlineLevel="0" collapsed="false">
      <c r="A81" s="1" t="s">
        <v>209</v>
      </c>
      <c r="B81" s="1" t="s">
        <v>340</v>
      </c>
      <c r="C81" s="7" t="n">
        <v>0</v>
      </c>
      <c r="D81" s="7" t="n">
        <v>40</v>
      </c>
      <c r="E81" s="7" t="n">
        <v>30</v>
      </c>
      <c r="F81" s="7" t="n">
        <v>0</v>
      </c>
      <c r="G81" s="7" t="n">
        <v>30</v>
      </c>
      <c r="H81" s="7" t="n">
        <v>35</v>
      </c>
    </row>
    <row r="82" customFormat="false" ht="15" hidden="false" customHeight="false" outlineLevel="0" collapsed="false">
      <c r="A82" s="1" t="s">
        <v>209</v>
      </c>
      <c r="B82" s="1" t="s">
        <v>341</v>
      </c>
      <c r="C82" s="7" t="n">
        <v>20</v>
      </c>
      <c r="D82" s="7" t="n">
        <v>95</v>
      </c>
      <c r="E82" s="7" t="n">
        <v>120</v>
      </c>
      <c r="F82" s="7" t="n">
        <v>10</v>
      </c>
      <c r="G82" s="7" t="n">
        <v>220</v>
      </c>
      <c r="H82" s="7" t="n">
        <v>205</v>
      </c>
    </row>
    <row r="83" customFormat="false" ht="15" hidden="false" customHeight="false" outlineLevel="0" collapsed="false">
      <c r="A83" s="1" t="s">
        <v>209</v>
      </c>
      <c r="B83" s="1" t="s">
        <v>342</v>
      </c>
      <c r="C83" s="7" t="n">
        <v>0</v>
      </c>
      <c r="D83" s="7" t="s">
        <v>33</v>
      </c>
      <c r="E83" s="7" t="n">
        <v>5</v>
      </c>
      <c r="F83" s="7" t="n">
        <v>0</v>
      </c>
      <c r="G83" s="7" t="s">
        <v>33</v>
      </c>
      <c r="H83" s="7" t="n">
        <v>5</v>
      </c>
    </row>
    <row r="84" customFormat="false" ht="15" hidden="false" customHeight="false" outlineLevel="0" collapsed="false">
      <c r="A84" s="1" t="s">
        <v>209</v>
      </c>
      <c r="B84" s="1" t="s">
        <v>343</v>
      </c>
      <c r="C84" s="7" t="n">
        <v>0</v>
      </c>
      <c r="D84" s="7" t="n">
        <v>0</v>
      </c>
      <c r="E84" s="7" t="n">
        <v>0</v>
      </c>
      <c r="F84" s="7" t="n">
        <v>0</v>
      </c>
      <c r="G84" s="7" t="n">
        <v>525</v>
      </c>
      <c r="H84" s="7" t="n">
        <v>390</v>
      </c>
    </row>
    <row r="85" customFormat="false" ht="15" hidden="false" customHeight="false" outlineLevel="0" collapsed="false">
      <c r="A85" s="1" t="s">
        <v>209</v>
      </c>
      <c r="B85" s="1" t="s">
        <v>344</v>
      </c>
      <c r="C85" s="7" t="n">
        <v>0</v>
      </c>
      <c r="D85" s="7" t="n">
        <v>15</v>
      </c>
      <c r="E85" s="7" t="n">
        <v>0</v>
      </c>
      <c r="F85" s="7" t="n">
        <v>0</v>
      </c>
      <c r="G85" s="7" t="n">
        <v>0</v>
      </c>
      <c r="H85" s="7" t="n">
        <v>0</v>
      </c>
    </row>
    <row r="86" customFormat="false" ht="15" hidden="false" customHeight="false" outlineLevel="0" collapsed="false">
      <c r="A86" s="1" t="s">
        <v>209</v>
      </c>
      <c r="B86" s="1" t="s">
        <v>345</v>
      </c>
      <c r="C86" s="7" t="n">
        <v>0</v>
      </c>
      <c r="D86" s="7" t="n">
        <v>0</v>
      </c>
      <c r="E86" s="7" t="n">
        <v>0</v>
      </c>
      <c r="F86" s="7" t="n">
        <v>0</v>
      </c>
      <c r="G86" s="7" t="n">
        <v>0</v>
      </c>
      <c r="H86" s="7" t="n">
        <v>5</v>
      </c>
    </row>
    <row r="87" customFormat="false" ht="15" hidden="false" customHeight="false" outlineLevel="0" collapsed="false">
      <c r="A87" s="1" t="s">
        <v>209</v>
      </c>
      <c r="B87" s="1" t="s">
        <v>346</v>
      </c>
      <c r="C87" s="7" t="n">
        <v>0</v>
      </c>
      <c r="D87" s="7" t="n">
        <v>5</v>
      </c>
      <c r="E87" s="7" t="n">
        <v>5</v>
      </c>
      <c r="F87" s="7" t="n">
        <v>5</v>
      </c>
      <c r="G87" s="7" t="n">
        <v>30</v>
      </c>
      <c r="H87" s="7" t="n">
        <v>485</v>
      </c>
    </row>
    <row r="88" customFormat="false" ht="15" hidden="false" customHeight="false" outlineLevel="0" collapsed="false">
      <c r="A88" s="1" t="s">
        <v>209</v>
      </c>
      <c r="B88" s="1" t="s">
        <v>347</v>
      </c>
      <c r="C88" s="7" t="s">
        <v>33</v>
      </c>
      <c r="D88" s="7" t="n">
        <v>10</v>
      </c>
      <c r="E88" s="7" t="s">
        <v>33</v>
      </c>
      <c r="F88" s="7" t="n">
        <v>0</v>
      </c>
      <c r="G88" s="7" t="s">
        <v>33</v>
      </c>
      <c r="H88" s="7" t="n">
        <v>5</v>
      </c>
    </row>
    <row r="89" customFormat="false" ht="15" hidden="false" customHeight="false" outlineLevel="0" collapsed="false">
      <c r="A89" s="1" t="s">
        <v>209</v>
      </c>
      <c r="B89" s="1" t="s">
        <v>348</v>
      </c>
      <c r="C89" s="7" t="n">
        <v>0</v>
      </c>
      <c r="D89" s="7" t="n">
        <v>0</v>
      </c>
      <c r="E89" s="7" t="n">
        <v>100</v>
      </c>
      <c r="F89" s="7" t="n">
        <v>80</v>
      </c>
      <c r="G89" s="7" t="n">
        <v>145</v>
      </c>
      <c r="H89" s="7" t="n">
        <v>140</v>
      </c>
    </row>
    <row r="90" customFormat="false" ht="15" hidden="false" customHeight="false" outlineLevel="0" collapsed="false">
      <c r="A90" s="1" t="s">
        <v>209</v>
      </c>
      <c r="B90" s="1" t="s">
        <v>349</v>
      </c>
      <c r="C90" s="7" t="n">
        <v>5</v>
      </c>
      <c r="D90" s="7" t="n">
        <v>45</v>
      </c>
      <c r="E90" s="7" t="n">
        <v>45</v>
      </c>
      <c r="F90" s="7" t="n">
        <v>15</v>
      </c>
      <c r="G90" s="7" t="n">
        <v>55</v>
      </c>
      <c r="H90" s="7" t="n">
        <v>30</v>
      </c>
    </row>
    <row r="91" customFormat="false" ht="15" hidden="false" customHeight="false" outlineLevel="0" collapsed="false">
      <c r="A91" s="1" t="s">
        <v>209</v>
      </c>
      <c r="B91" s="1" t="s">
        <v>350</v>
      </c>
      <c r="C91" s="7" t="n">
        <v>10</v>
      </c>
      <c r="D91" s="7" t="n">
        <v>20</v>
      </c>
      <c r="E91" s="7" t="n">
        <v>5</v>
      </c>
      <c r="F91" s="7" t="n">
        <v>0</v>
      </c>
      <c r="G91" s="7" t="n">
        <v>10</v>
      </c>
      <c r="H91" s="7" t="n">
        <v>5</v>
      </c>
    </row>
    <row r="92" customFormat="false" ht="15" hidden="false" customHeight="false" outlineLevel="0" collapsed="false">
      <c r="A92" s="1" t="s">
        <v>209</v>
      </c>
      <c r="B92" s="1" t="s">
        <v>351</v>
      </c>
      <c r="C92" s="7" t="n">
        <v>45</v>
      </c>
      <c r="D92" s="7" t="n">
        <v>35</v>
      </c>
      <c r="E92" s="7" t="n">
        <v>15</v>
      </c>
      <c r="F92" s="7" t="s">
        <v>35</v>
      </c>
      <c r="G92" s="7" t="s">
        <v>35</v>
      </c>
      <c r="H92" s="7" t="s">
        <v>35</v>
      </c>
    </row>
    <row r="93" customFormat="false" ht="15" hidden="false" customHeight="false" outlineLevel="0" collapsed="false">
      <c r="A93" s="1" t="s">
        <v>209</v>
      </c>
      <c r="B93" s="1" t="s">
        <v>352</v>
      </c>
      <c r="C93" s="7" t="s">
        <v>35</v>
      </c>
      <c r="D93" s="7" t="s">
        <v>33</v>
      </c>
      <c r="E93" s="7" t="n">
        <v>0</v>
      </c>
      <c r="F93" s="7" t="n">
        <v>5</v>
      </c>
      <c r="G93" s="7" t="s">
        <v>33</v>
      </c>
      <c r="H93" s="7" t="n">
        <v>10</v>
      </c>
    </row>
    <row r="94" customFormat="false" ht="15" hidden="false" customHeight="false" outlineLevel="0" collapsed="false">
      <c r="A94" s="1" t="s">
        <v>211</v>
      </c>
      <c r="B94" s="1" t="s">
        <v>353</v>
      </c>
      <c r="C94" s="7" t="n">
        <v>30</v>
      </c>
      <c r="D94" s="7" t="n">
        <v>30</v>
      </c>
      <c r="E94" s="7" t="n">
        <v>15</v>
      </c>
      <c r="F94" s="7" t="n">
        <v>20</v>
      </c>
      <c r="G94" s="7" t="n">
        <v>20</v>
      </c>
      <c r="H94" s="7" t="n">
        <v>65</v>
      </c>
    </row>
    <row r="95" customFormat="false" ht="15" hidden="false" customHeight="false" outlineLevel="0" collapsed="false">
      <c r="A95" s="1" t="s">
        <v>211</v>
      </c>
      <c r="B95" s="1" t="s">
        <v>354</v>
      </c>
      <c r="C95" s="7" t="n">
        <v>5</v>
      </c>
      <c r="D95" s="7" t="n">
        <v>0</v>
      </c>
      <c r="E95" s="7" t="n">
        <v>5</v>
      </c>
      <c r="F95" s="7" t="n">
        <v>20</v>
      </c>
      <c r="G95" s="7" t="n">
        <v>30</v>
      </c>
      <c r="H95" s="7" t="n">
        <v>25</v>
      </c>
    </row>
    <row r="96" customFormat="false" ht="15" hidden="false" customHeight="false" outlineLevel="0" collapsed="false">
      <c r="A96" s="1" t="s">
        <v>211</v>
      </c>
      <c r="B96" s="1" t="s">
        <v>355</v>
      </c>
      <c r="C96" s="7" t="n">
        <v>20</v>
      </c>
      <c r="D96" s="7" t="n">
        <v>10</v>
      </c>
      <c r="E96" s="7" t="n">
        <v>25</v>
      </c>
      <c r="F96" s="7" t="n">
        <v>60</v>
      </c>
      <c r="G96" s="7" t="n">
        <v>30</v>
      </c>
      <c r="H96" s="7" t="n">
        <v>60</v>
      </c>
    </row>
    <row r="97" customFormat="false" ht="15" hidden="false" customHeight="false" outlineLevel="0" collapsed="false">
      <c r="A97" s="1" t="s">
        <v>211</v>
      </c>
      <c r="B97" s="1" t="s">
        <v>356</v>
      </c>
      <c r="C97" s="7" t="n">
        <v>85</v>
      </c>
      <c r="D97" s="7" t="n">
        <v>35</v>
      </c>
      <c r="E97" s="7" t="n">
        <v>40</v>
      </c>
      <c r="F97" s="7" t="n">
        <v>40</v>
      </c>
      <c r="G97" s="7" t="n">
        <v>80</v>
      </c>
      <c r="H97" s="7" t="n">
        <v>100</v>
      </c>
    </row>
    <row r="98" customFormat="false" ht="15" hidden="false" customHeight="false" outlineLevel="0" collapsed="false">
      <c r="A98" s="1" t="s">
        <v>211</v>
      </c>
      <c r="B98" s="1" t="s">
        <v>357</v>
      </c>
      <c r="C98" s="7" t="n">
        <v>40</v>
      </c>
      <c r="D98" s="7" t="n">
        <v>45</v>
      </c>
      <c r="E98" s="7" t="n">
        <v>25</v>
      </c>
      <c r="F98" s="7" t="n">
        <v>10</v>
      </c>
      <c r="G98" s="7" t="n">
        <v>40</v>
      </c>
      <c r="H98" s="7" t="n">
        <v>0</v>
      </c>
    </row>
    <row r="99" customFormat="false" ht="15" hidden="false" customHeight="false" outlineLevel="0" collapsed="false">
      <c r="A99" s="1" t="s">
        <v>211</v>
      </c>
      <c r="B99" s="1" t="s">
        <v>358</v>
      </c>
      <c r="C99" s="7" t="n">
        <v>320</v>
      </c>
      <c r="D99" s="7" t="n">
        <v>290</v>
      </c>
      <c r="E99" s="7" t="n">
        <v>185</v>
      </c>
      <c r="F99" s="7" t="n">
        <v>110</v>
      </c>
      <c r="G99" s="7" t="n">
        <v>0</v>
      </c>
      <c r="H99" s="7" t="s">
        <v>35</v>
      </c>
    </row>
    <row r="100" customFormat="false" ht="15" hidden="false" customHeight="false" outlineLevel="0" collapsed="false">
      <c r="A100" s="1" t="s">
        <v>211</v>
      </c>
      <c r="B100" s="1" t="s">
        <v>288</v>
      </c>
      <c r="C100" s="7" t="n">
        <v>10</v>
      </c>
      <c r="D100" s="7" t="s">
        <v>33</v>
      </c>
      <c r="E100" s="7" t="n">
        <v>0</v>
      </c>
      <c r="F100" s="7" t="n">
        <v>0</v>
      </c>
      <c r="G100" s="7" t="s">
        <v>33</v>
      </c>
      <c r="H100" s="7" t="n">
        <v>0</v>
      </c>
    </row>
    <row r="101" customFormat="false" ht="15" hidden="false" customHeight="false" outlineLevel="0" collapsed="false">
      <c r="A101" s="1" t="s">
        <v>211</v>
      </c>
      <c r="B101" s="1" t="s">
        <v>52</v>
      </c>
      <c r="C101" s="7" t="n">
        <v>275</v>
      </c>
      <c r="D101" s="7" t="n">
        <v>175</v>
      </c>
      <c r="E101" s="7" t="n">
        <v>215</v>
      </c>
      <c r="F101" s="7" t="n">
        <v>85</v>
      </c>
      <c r="G101" s="7" t="n">
        <v>100</v>
      </c>
      <c r="H101" s="7" t="n">
        <v>60</v>
      </c>
    </row>
    <row r="102" customFormat="false" ht="15" hidden="false" customHeight="false" outlineLevel="0" collapsed="false">
      <c r="A102" s="1" t="s">
        <v>211</v>
      </c>
      <c r="B102" s="1" t="s">
        <v>359</v>
      </c>
      <c r="C102" s="7" t="n">
        <v>65</v>
      </c>
      <c r="D102" s="7" t="n">
        <v>105</v>
      </c>
      <c r="E102" s="7" t="n">
        <v>60</v>
      </c>
      <c r="F102" s="7" t="n">
        <v>60</v>
      </c>
      <c r="G102" s="7" t="n">
        <v>60</v>
      </c>
      <c r="H102" s="7" t="n">
        <v>85</v>
      </c>
    </row>
    <row r="103" customFormat="false" ht="15" hidden="false" customHeight="false" outlineLevel="0" collapsed="false">
      <c r="A103" s="1" t="s">
        <v>211</v>
      </c>
      <c r="B103" s="1" t="s">
        <v>360</v>
      </c>
      <c r="C103" s="7" t="n">
        <v>15</v>
      </c>
      <c r="D103" s="7" t="n">
        <v>30</v>
      </c>
      <c r="E103" s="7" t="n">
        <v>0</v>
      </c>
      <c r="F103" s="7" t="n">
        <v>0</v>
      </c>
      <c r="G103" s="7" t="n">
        <v>0</v>
      </c>
      <c r="H103" s="7" t="n">
        <v>0</v>
      </c>
    </row>
    <row r="104" customFormat="false" ht="15" hidden="false" customHeight="false" outlineLevel="0" collapsed="false">
      <c r="A104" s="1" t="s">
        <v>211</v>
      </c>
      <c r="B104" s="1" t="s">
        <v>361</v>
      </c>
      <c r="C104" s="7" t="n">
        <v>25</v>
      </c>
      <c r="D104" s="7" t="n">
        <v>30</v>
      </c>
      <c r="E104" s="7" t="s">
        <v>33</v>
      </c>
      <c r="F104" s="7" t="n">
        <v>0</v>
      </c>
      <c r="G104" s="7" t="n">
        <v>20</v>
      </c>
      <c r="H104" s="7" t="n">
        <v>20</v>
      </c>
    </row>
    <row r="105" customFormat="false" ht="15" hidden="false" customHeight="false" outlineLevel="0" collapsed="false">
      <c r="A105" s="1" t="s">
        <v>211</v>
      </c>
      <c r="B105" s="1" t="s">
        <v>362</v>
      </c>
      <c r="C105" s="7" t="n">
        <v>105</v>
      </c>
      <c r="D105" s="7" t="n">
        <v>85</v>
      </c>
      <c r="E105" s="7" t="n">
        <v>70</v>
      </c>
      <c r="F105" s="7" t="n">
        <v>25</v>
      </c>
      <c r="G105" s="7" t="n">
        <v>15</v>
      </c>
      <c r="H105" s="7" t="n">
        <v>0</v>
      </c>
    </row>
    <row r="106" customFormat="false" ht="15" hidden="false" customHeight="false" outlineLevel="0" collapsed="false">
      <c r="A106" s="1" t="s">
        <v>211</v>
      </c>
      <c r="B106" s="1" t="s">
        <v>217</v>
      </c>
      <c r="C106" s="7" t="n">
        <v>30</v>
      </c>
      <c r="D106" s="7" t="n">
        <v>60</v>
      </c>
      <c r="E106" s="7" t="n">
        <v>95</v>
      </c>
      <c r="F106" s="7" t="n">
        <v>45</v>
      </c>
      <c r="G106" s="7" t="n">
        <v>100</v>
      </c>
      <c r="H106" s="7" t="n">
        <v>125</v>
      </c>
    </row>
    <row r="107" customFormat="false" ht="15" hidden="false" customHeight="false" outlineLevel="0" collapsed="false">
      <c r="A107" s="1" t="s">
        <v>211</v>
      </c>
      <c r="B107" s="1" t="s">
        <v>363</v>
      </c>
      <c r="C107" s="7" t="n">
        <v>60</v>
      </c>
      <c r="D107" s="7" t="n">
        <v>25</v>
      </c>
      <c r="E107" s="7" t="n">
        <v>10</v>
      </c>
      <c r="F107" s="7" t="n">
        <v>15</v>
      </c>
      <c r="G107" s="7" t="n">
        <v>15</v>
      </c>
      <c r="H107" s="7" t="s">
        <v>35</v>
      </c>
    </row>
    <row r="108" customFormat="false" ht="15" hidden="false" customHeight="false" outlineLevel="0" collapsed="false">
      <c r="A108" s="1" t="s">
        <v>211</v>
      </c>
      <c r="B108" s="1" t="s">
        <v>293</v>
      </c>
      <c r="C108" s="7" t="n">
        <v>235</v>
      </c>
      <c r="D108" s="7" t="n">
        <v>80</v>
      </c>
      <c r="E108" s="7" t="n">
        <v>90</v>
      </c>
      <c r="F108" s="7" t="n">
        <v>70</v>
      </c>
      <c r="G108" s="7" t="n">
        <v>45</v>
      </c>
      <c r="H108" s="7" t="n">
        <v>30</v>
      </c>
    </row>
    <row r="109" customFormat="false" ht="15" hidden="false" customHeight="false" outlineLevel="0" collapsed="false">
      <c r="A109" s="1" t="s">
        <v>211</v>
      </c>
      <c r="B109" s="1" t="s">
        <v>364</v>
      </c>
      <c r="C109" s="7" t="n">
        <v>795</v>
      </c>
      <c r="D109" s="7" t="n">
        <v>640</v>
      </c>
      <c r="E109" s="7" t="n">
        <v>430</v>
      </c>
      <c r="F109" s="7" t="n">
        <v>350</v>
      </c>
      <c r="G109" s="7" t="n">
        <v>350</v>
      </c>
      <c r="H109" s="7" t="n">
        <v>160</v>
      </c>
    </row>
    <row r="110" customFormat="false" ht="15" hidden="false" customHeight="false" outlineLevel="0" collapsed="false">
      <c r="A110" s="1" t="s">
        <v>211</v>
      </c>
      <c r="B110" s="1" t="s">
        <v>294</v>
      </c>
      <c r="C110" s="7" t="n">
        <v>1150</v>
      </c>
      <c r="D110" s="7" t="n">
        <v>1080</v>
      </c>
      <c r="E110" s="7" t="n">
        <v>820</v>
      </c>
      <c r="F110" s="7" t="n">
        <v>635</v>
      </c>
      <c r="G110" s="7" t="n">
        <v>705</v>
      </c>
      <c r="H110" s="7" t="n">
        <v>520</v>
      </c>
    </row>
    <row r="111" customFormat="false" ht="15" hidden="false" customHeight="false" outlineLevel="0" collapsed="false">
      <c r="A111" s="1" t="s">
        <v>211</v>
      </c>
      <c r="B111" s="1" t="s">
        <v>365</v>
      </c>
      <c r="C111" s="7" t="n">
        <v>70</v>
      </c>
      <c r="D111" s="7" t="n">
        <v>20</v>
      </c>
      <c r="E111" s="7" t="n">
        <v>10</v>
      </c>
      <c r="F111" s="7" t="n">
        <v>0</v>
      </c>
      <c r="G111" s="7" t="s">
        <v>35</v>
      </c>
      <c r="H111" s="7" t="s">
        <v>35</v>
      </c>
    </row>
    <row r="112" customFormat="false" ht="15" hidden="false" customHeight="false" outlineLevel="0" collapsed="false">
      <c r="A112" s="1" t="s">
        <v>211</v>
      </c>
      <c r="B112" s="1" t="s">
        <v>366</v>
      </c>
      <c r="C112" s="7" t="n">
        <v>15</v>
      </c>
      <c r="D112" s="7" t="n">
        <v>45</v>
      </c>
      <c r="E112" s="7" t="n">
        <v>65</v>
      </c>
      <c r="F112" s="7" t="n">
        <v>40</v>
      </c>
      <c r="G112" s="7" t="n">
        <v>75</v>
      </c>
      <c r="H112" s="7" t="n">
        <v>65</v>
      </c>
    </row>
    <row r="113" customFormat="false" ht="15" hidden="false" customHeight="false" outlineLevel="0" collapsed="false">
      <c r="A113" s="1" t="s">
        <v>211</v>
      </c>
      <c r="B113" s="1" t="s">
        <v>367</v>
      </c>
      <c r="C113" s="7" t="n">
        <v>20</v>
      </c>
      <c r="D113" s="7" t="n">
        <v>20</v>
      </c>
      <c r="E113" s="7" t="n">
        <v>20</v>
      </c>
      <c r="F113" s="7" t="n">
        <v>15</v>
      </c>
      <c r="G113" s="7" t="n">
        <v>15</v>
      </c>
      <c r="H113" s="7" t="n">
        <v>5</v>
      </c>
    </row>
    <row r="114" customFormat="false" ht="15" hidden="false" customHeight="false" outlineLevel="0" collapsed="false">
      <c r="A114" s="1" t="s">
        <v>211</v>
      </c>
      <c r="B114" s="1" t="s">
        <v>368</v>
      </c>
      <c r="C114" s="7" t="n">
        <v>50</v>
      </c>
      <c r="D114" s="7" t="n">
        <v>10</v>
      </c>
      <c r="E114" s="7" t="n">
        <v>55</v>
      </c>
      <c r="F114" s="7" t="n">
        <v>45</v>
      </c>
      <c r="G114" s="7" t="n">
        <v>135</v>
      </c>
      <c r="H114" s="7" t="n">
        <v>105</v>
      </c>
    </row>
    <row r="115" customFormat="false" ht="15" hidden="false" customHeight="false" outlineLevel="0" collapsed="false">
      <c r="A115" s="1" t="s">
        <v>211</v>
      </c>
      <c r="B115" s="1" t="s">
        <v>369</v>
      </c>
      <c r="C115" s="7" t="n">
        <v>20</v>
      </c>
      <c r="D115" s="7" t="s">
        <v>33</v>
      </c>
      <c r="E115" s="7" t="n">
        <v>0</v>
      </c>
      <c r="F115" s="7" t="n">
        <v>10</v>
      </c>
      <c r="G115" s="7" t="s">
        <v>33</v>
      </c>
      <c r="H115" s="7" t="n">
        <v>5</v>
      </c>
    </row>
    <row r="116" customFormat="false" ht="15" hidden="false" customHeight="false" outlineLevel="0" collapsed="false">
      <c r="A116" s="1" t="s">
        <v>211</v>
      </c>
      <c r="B116" s="1" t="s">
        <v>370</v>
      </c>
      <c r="C116" s="7" t="n">
        <v>500</v>
      </c>
      <c r="D116" s="7" t="n">
        <v>470</v>
      </c>
      <c r="E116" s="7" t="n">
        <v>450</v>
      </c>
      <c r="F116" s="7" t="n">
        <v>135</v>
      </c>
      <c r="G116" s="7" t="s">
        <v>35</v>
      </c>
      <c r="H116" s="7" t="s">
        <v>35</v>
      </c>
    </row>
    <row r="117" customFormat="false" ht="15" hidden="false" customHeight="false" outlineLevel="0" collapsed="false">
      <c r="A117" s="1" t="s">
        <v>211</v>
      </c>
      <c r="B117" s="1" t="s">
        <v>371</v>
      </c>
      <c r="C117" s="7" t="n">
        <v>65</v>
      </c>
      <c r="D117" s="7" t="n">
        <v>20</v>
      </c>
      <c r="E117" s="7" t="n">
        <v>25</v>
      </c>
      <c r="F117" s="7" t="n">
        <v>15</v>
      </c>
      <c r="G117" s="7" t="n">
        <v>35</v>
      </c>
      <c r="H117" s="7" t="n">
        <v>20</v>
      </c>
    </row>
    <row r="118" customFormat="false" ht="15" hidden="false" customHeight="false" outlineLevel="0" collapsed="false">
      <c r="A118" s="1" t="s">
        <v>211</v>
      </c>
      <c r="B118" s="1" t="s">
        <v>372</v>
      </c>
      <c r="C118" s="7" t="n">
        <v>135</v>
      </c>
      <c r="D118" s="7" t="n">
        <v>60</v>
      </c>
      <c r="E118" s="7" t="n">
        <v>95</v>
      </c>
      <c r="F118" s="7" t="n">
        <v>90</v>
      </c>
      <c r="G118" s="7" t="n">
        <v>35</v>
      </c>
      <c r="H118" s="7" t="n">
        <v>85</v>
      </c>
    </row>
    <row r="119" customFormat="false" ht="15" hidden="false" customHeight="false" outlineLevel="0" collapsed="false">
      <c r="A119" s="1" t="s">
        <v>211</v>
      </c>
      <c r="B119" s="1" t="s">
        <v>373</v>
      </c>
      <c r="C119" s="7" t="s">
        <v>35</v>
      </c>
      <c r="D119" s="7" t="s">
        <v>35</v>
      </c>
      <c r="E119" s="7" t="n">
        <v>0</v>
      </c>
      <c r="F119" s="7" t="n">
        <v>0</v>
      </c>
      <c r="G119" s="7" t="n">
        <v>0</v>
      </c>
      <c r="H119" s="7" t="n">
        <v>5</v>
      </c>
    </row>
    <row r="120" customFormat="false" ht="15" hidden="false" customHeight="false" outlineLevel="0" collapsed="false">
      <c r="A120" s="1" t="s">
        <v>211</v>
      </c>
      <c r="B120" s="1" t="s">
        <v>374</v>
      </c>
      <c r="C120" s="7" t="n">
        <v>130</v>
      </c>
      <c r="D120" s="7" t="n">
        <v>20</v>
      </c>
      <c r="E120" s="7" t="n">
        <v>95</v>
      </c>
      <c r="F120" s="7" t="n">
        <v>80</v>
      </c>
      <c r="G120" s="7" t="n">
        <v>40</v>
      </c>
      <c r="H120" s="7" t="n">
        <v>50</v>
      </c>
    </row>
    <row r="121" customFormat="false" ht="15" hidden="false" customHeight="false" outlineLevel="0" collapsed="false">
      <c r="A121" s="1" t="s">
        <v>211</v>
      </c>
      <c r="B121" s="1" t="s">
        <v>375</v>
      </c>
      <c r="C121" s="7" t="n">
        <v>115</v>
      </c>
      <c r="D121" s="7" t="n">
        <v>10</v>
      </c>
      <c r="E121" s="7" t="n">
        <v>55</v>
      </c>
      <c r="F121" s="7" t="n">
        <v>60</v>
      </c>
      <c r="G121" s="7" t="n">
        <v>15</v>
      </c>
      <c r="H121" s="7" t="n">
        <v>45</v>
      </c>
    </row>
    <row r="122" customFormat="false" ht="15" hidden="false" customHeight="false" outlineLevel="0" collapsed="false">
      <c r="A122" s="1" t="s">
        <v>211</v>
      </c>
      <c r="B122" s="1" t="s">
        <v>376</v>
      </c>
      <c r="C122" s="7" t="n">
        <v>15</v>
      </c>
      <c r="D122" s="7" t="n">
        <v>10</v>
      </c>
      <c r="E122" s="7" t="n">
        <v>20</v>
      </c>
      <c r="F122" s="7" t="s">
        <v>33</v>
      </c>
      <c r="G122" s="7" t="n">
        <v>45</v>
      </c>
      <c r="H122" s="7" t="n">
        <v>30</v>
      </c>
    </row>
    <row r="123" customFormat="false" ht="15" hidden="false" customHeight="false" outlineLevel="0" collapsed="false">
      <c r="A123" s="1" t="s">
        <v>211</v>
      </c>
      <c r="B123" s="1" t="s">
        <v>377</v>
      </c>
      <c r="C123" s="7" t="n">
        <v>20</v>
      </c>
      <c r="D123" s="7" t="n">
        <v>0</v>
      </c>
      <c r="E123" s="7" t="n">
        <v>10</v>
      </c>
      <c r="F123" s="7" t="s">
        <v>33</v>
      </c>
      <c r="G123" s="7" t="n">
        <v>10</v>
      </c>
      <c r="H123" s="7" t="n">
        <v>15</v>
      </c>
    </row>
    <row r="124" customFormat="false" ht="15" hidden="false" customHeight="false" outlineLevel="0" collapsed="false">
      <c r="A124" s="1" t="s">
        <v>211</v>
      </c>
      <c r="B124" s="1" t="s">
        <v>378</v>
      </c>
      <c r="C124" s="7" t="s">
        <v>33</v>
      </c>
      <c r="D124" s="7" t="s">
        <v>33</v>
      </c>
      <c r="E124" s="7" t="n">
        <v>0</v>
      </c>
      <c r="F124" s="7" t="s">
        <v>33</v>
      </c>
      <c r="G124" s="7" t="s">
        <v>33</v>
      </c>
      <c r="H124" s="7" t="n">
        <v>0</v>
      </c>
    </row>
    <row r="125" customFormat="false" ht="15" hidden="false" customHeight="false" outlineLevel="0" collapsed="false">
      <c r="A125" s="1" t="s">
        <v>211</v>
      </c>
      <c r="B125" s="1" t="s">
        <v>379</v>
      </c>
      <c r="C125" s="7" t="n">
        <v>70</v>
      </c>
      <c r="D125" s="7" t="n">
        <v>50</v>
      </c>
      <c r="E125" s="7" t="n">
        <v>5</v>
      </c>
      <c r="F125" s="7" t="s">
        <v>33</v>
      </c>
      <c r="G125" s="7" t="n">
        <v>0</v>
      </c>
      <c r="H125" s="7" t="s">
        <v>35</v>
      </c>
    </row>
    <row r="126" customFormat="false" ht="15" hidden="false" customHeight="false" outlineLevel="0" collapsed="false">
      <c r="A126" s="1" t="s">
        <v>211</v>
      </c>
      <c r="B126" s="1" t="s">
        <v>380</v>
      </c>
      <c r="C126" s="7" t="n">
        <v>580</v>
      </c>
      <c r="D126" s="7" t="n">
        <v>1040</v>
      </c>
      <c r="E126" s="7" t="n">
        <v>410</v>
      </c>
      <c r="F126" s="7" t="n">
        <v>35</v>
      </c>
      <c r="G126" s="7" t="n">
        <v>0</v>
      </c>
      <c r="H126" s="7" t="s">
        <v>35</v>
      </c>
    </row>
    <row r="127" customFormat="false" ht="15" hidden="false" customHeight="false" outlineLevel="0" collapsed="false">
      <c r="A127" s="1" t="s">
        <v>211</v>
      </c>
      <c r="B127" s="1" t="s">
        <v>381</v>
      </c>
      <c r="C127" s="7" t="s">
        <v>33</v>
      </c>
      <c r="D127" s="7" t="n">
        <v>0</v>
      </c>
      <c r="E127" s="7" t="n">
        <v>0</v>
      </c>
      <c r="F127" s="7" t="n">
        <v>5</v>
      </c>
      <c r="G127" s="7" t="n">
        <v>0</v>
      </c>
      <c r="H127" s="7" t="n">
        <v>0</v>
      </c>
    </row>
    <row r="128" customFormat="false" ht="15" hidden="false" customHeight="false" outlineLevel="0" collapsed="false">
      <c r="A128" s="1" t="s">
        <v>211</v>
      </c>
      <c r="B128" s="1" t="s">
        <v>299</v>
      </c>
      <c r="C128" s="7" t="n">
        <v>205</v>
      </c>
      <c r="D128" s="7" t="n">
        <v>130</v>
      </c>
      <c r="E128" s="7" t="n">
        <v>60</v>
      </c>
      <c r="F128" s="7" t="n">
        <v>20</v>
      </c>
      <c r="G128" s="7" t="n">
        <v>20</v>
      </c>
      <c r="H128" s="7" t="s">
        <v>35</v>
      </c>
    </row>
    <row r="129" customFormat="false" ht="15" hidden="false" customHeight="false" outlineLevel="0" collapsed="false">
      <c r="A129" s="1" t="s">
        <v>211</v>
      </c>
      <c r="B129" s="1" t="s">
        <v>300</v>
      </c>
      <c r="C129" s="7" t="n">
        <v>415</v>
      </c>
      <c r="D129" s="7" t="n">
        <v>325</v>
      </c>
      <c r="E129" s="7" t="n">
        <v>350</v>
      </c>
      <c r="F129" s="7" t="n">
        <v>330</v>
      </c>
      <c r="G129" s="7" t="n">
        <v>285</v>
      </c>
      <c r="H129" s="7" t="n">
        <v>270</v>
      </c>
    </row>
    <row r="130" customFormat="false" ht="15" hidden="false" customHeight="false" outlineLevel="0" collapsed="false">
      <c r="A130" s="1" t="s">
        <v>211</v>
      </c>
      <c r="B130" s="1" t="s">
        <v>158</v>
      </c>
      <c r="C130" s="7" t="n">
        <v>95</v>
      </c>
      <c r="D130" s="7" t="n">
        <v>120</v>
      </c>
      <c r="E130" s="7" t="n">
        <v>80</v>
      </c>
      <c r="F130" s="7" t="n">
        <v>50</v>
      </c>
      <c r="G130" s="7" t="n">
        <v>70</v>
      </c>
      <c r="H130" s="7" t="n">
        <v>100</v>
      </c>
    </row>
    <row r="131" customFormat="false" ht="15" hidden="false" customHeight="false" outlineLevel="0" collapsed="false">
      <c r="A131" s="1" t="s">
        <v>211</v>
      </c>
      <c r="B131" s="1" t="s">
        <v>301</v>
      </c>
      <c r="C131" s="7" t="n">
        <v>255</v>
      </c>
      <c r="D131" s="7" t="n">
        <v>185</v>
      </c>
      <c r="E131" s="7" t="n">
        <v>95</v>
      </c>
      <c r="F131" s="7" t="n">
        <v>30</v>
      </c>
      <c r="G131" s="7" t="n">
        <v>10</v>
      </c>
      <c r="H131" s="7" t="s">
        <v>35</v>
      </c>
    </row>
    <row r="132" customFormat="false" ht="15" hidden="false" customHeight="false" outlineLevel="0" collapsed="false">
      <c r="A132" s="1" t="s">
        <v>211</v>
      </c>
      <c r="B132" s="1" t="s">
        <v>302</v>
      </c>
      <c r="C132" s="7" t="n">
        <v>10</v>
      </c>
      <c r="D132" s="7" t="n">
        <v>0</v>
      </c>
      <c r="E132" s="7" t="s">
        <v>35</v>
      </c>
      <c r="F132" s="7" t="s">
        <v>35</v>
      </c>
      <c r="G132" s="7" t="s">
        <v>35</v>
      </c>
      <c r="H132" s="7" t="s">
        <v>35</v>
      </c>
    </row>
    <row r="133" customFormat="false" ht="15" hidden="false" customHeight="false" outlineLevel="0" collapsed="false">
      <c r="A133" s="1" t="s">
        <v>211</v>
      </c>
      <c r="B133" s="1" t="s">
        <v>303</v>
      </c>
      <c r="C133" s="7" t="n">
        <v>190</v>
      </c>
      <c r="D133" s="7" t="n">
        <v>200</v>
      </c>
      <c r="E133" s="7" t="n">
        <v>175</v>
      </c>
      <c r="F133" s="7" t="n">
        <v>90</v>
      </c>
      <c r="G133" s="7" t="n">
        <v>165</v>
      </c>
      <c r="H133" s="7" t="n">
        <v>130</v>
      </c>
    </row>
    <row r="134" customFormat="false" ht="15" hidden="false" customHeight="false" outlineLevel="0" collapsed="false">
      <c r="A134" s="1" t="s">
        <v>211</v>
      </c>
      <c r="B134" s="1" t="s">
        <v>382</v>
      </c>
      <c r="C134" s="7" t="n">
        <v>35</v>
      </c>
      <c r="D134" s="7" t="n">
        <v>15</v>
      </c>
      <c r="E134" s="7" t="n">
        <v>15</v>
      </c>
      <c r="F134" s="7" t="n">
        <v>15</v>
      </c>
      <c r="G134" s="7" t="n">
        <v>60</v>
      </c>
      <c r="H134" s="7" t="n">
        <v>55</v>
      </c>
    </row>
    <row r="135" customFormat="false" ht="15" hidden="false" customHeight="false" outlineLevel="0" collapsed="false">
      <c r="A135" s="1" t="s">
        <v>211</v>
      </c>
      <c r="B135" s="1" t="s">
        <v>383</v>
      </c>
      <c r="C135" s="7" t="s">
        <v>35</v>
      </c>
      <c r="D135" s="7" t="s">
        <v>35</v>
      </c>
      <c r="E135" s="7" t="s">
        <v>35</v>
      </c>
      <c r="F135" s="7" t="n">
        <v>10</v>
      </c>
      <c r="G135" s="7" t="n">
        <v>10</v>
      </c>
      <c r="H135" s="7" t="n">
        <v>45</v>
      </c>
    </row>
    <row r="136" customFormat="false" ht="15" hidden="false" customHeight="false" outlineLevel="0" collapsed="false">
      <c r="A136" s="1" t="s">
        <v>211</v>
      </c>
      <c r="B136" s="1" t="s">
        <v>305</v>
      </c>
      <c r="C136" s="7" t="n">
        <v>25</v>
      </c>
      <c r="D136" s="7" t="n">
        <v>15</v>
      </c>
      <c r="E136" s="7" t="n">
        <v>15</v>
      </c>
      <c r="F136" s="7" t="n">
        <v>5</v>
      </c>
      <c r="G136" s="7" t="n">
        <v>30</v>
      </c>
      <c r="H136" s="7" t="n">
        <v>20</v>
      </c>
    </row>
    <row r="137" customFormat="false" ht="15" hidden="false" customHeight="false" outlineLevel="0" collapsed="false">
      <c r="A137" s="1" t="s">
        <v>211</v>
      </c>
      <c r="B137" s="1" t="s">
        <v>384</v>
      </c>
      <c r="C137" s="7" t="n">
        <v>140</v>
      </c>
      <c r="D137" s="7" t="n">
        <v>175</v>
      </c>
      <c r="E137" s="7" t="n">
        <v>110</v>
      </c>
      <c r="F137" s="7" t="n">
        <v>115</v>
      </c>
      <c r="G137" s="7" t="n">
        <v>60</v>
      </c>
      <c r="H137" s="7" t="n">
        <v>55</v>
      </c>
    </row>
    <row r="138" customFormat="false" ht="15" hidden="false" customHeight="false" outlineLevel="0" collapsed="false">
      <c r="A138" s="1" t="s">
        <v>211</v>
      </c>
      <c r="B138" s="1" t="s">
        <v>385</v>
      </c>
      <c r="C138" s="7" t="n">
        <v>10</v>
      </c>
      <c r="D138" s="7" t="n">
        <v>10</v>
      </c>
      <c r="E138" s="7" t="s">
        <v>35</v>
      </c>
      <c r="F138" s="7" t="s">
        <v>35</v>
      </c>
      <c r="G138" s="7" t="s">
        <v>35</v>
      </c>
      <c r="H138" s="7" t="s">
        <v>35</v>
      </c>
    </row>
    <row r="139" customFormat="false" ht="15" hidden="false" customHeight="false" outlineLevel="0" collapsed="false">
      <c r="A139" s="1" t="s">
        <v>211</v>
      </c>
      <c r="B139" s="1" t="s">
        <v>284</v>
      </c>
      <c r="C139" s="7" t="n">
        <v>285</v>
      </c>
      <c r="D139" s="7" t="n">
        <v>140</v>
      </c>
      <c r="E139" s="7" t="n">
        <v>195</v>
      </c>
      <c r="F139" s="7" t="n">
        <v>190</v>
      </c>
      <c r="G139" s="7" t="n">
        <v>315</v>
      </c>
      <c r="H139" s="7" t="n">
        <v>310</v>
      </c>
    </row>
    <row r="140" customFormat="false" ht="15" hidden="false" customHeight="false" outlineLevel="0" collapsed="false">
      <c r="A140" s="1" t="s">
        <v>211</v>
      </c>
      <c r="B140" s="1" t="s">
        <v>306</v>
      </c>
      <c r="C140" s="7" t="n">
        <v>105</v>
      </c>
      <c r="D140" s="7" t="n">
        <v>10</v>
      </c>
      <c r="E140" s="7" t="s">
        <v>35</v>
      </c>
      <c r="F140" s="7" t="s">
        <v>35</v>
      </c>
      <c r="G140" s="7" t="s">
        <v>35</v>
      </c>
      <c r="H140" s="7" t="s">
        <v>35</v>
      </c>
    </row>
    <row r="141" customFormat="false" ht="15" hidden="false" customHeight="false" outlineLevel="0" collapsed="false">
      <c r="A141" s="1" t="s">
        <v>211</v>
      </c>
      <c r="B141" s="1" t="s">
        <v>386</v>
      </c>
      <c r="C141" s="7" t="n">
        <v>15</v>
      </c>
      <c r="D141" s="7" t="s">
        <v>33</v>
      </c>
      <c r="E141" s="7" t="n">
        <v>25</v>
      </c>
      <c r="F141" s="7" t="n">
        <v>15</v>
      </c>
      <c r="G141" s="7" t="n">
        <v>15</v>
      </c>
      <c r="H141" s="7" t="n">
        <v>20</v>
      </c>
    </row>
    <row r="142" customFormat="false" ht="15" hidden="false" customHeight="false" outlineLevel="0" collapsed="false">
      <c r="A142" s="1" t="s">
        <v>211</v>
      </c>
      <c r="B142" s="1" t="s">
        <v>387</v>
      </c>
      <c r="C142" s="7" t="n">
        <v>80</v>
      </c>
      <c r="D142" s="7" t="n">
        <v>80</v>
      </c>
      <c r="E142" s="7" t="n">
        <v>65</v>
      </c>
      <c r="F142" s="7" t="n">
        <v>15</v>
      </c>
      <c r="G142" s="7" t="n">
        <v>15</v>
      </c>
      <c r="H142" s="7" t="s">
        <v>35</v>
      </c>
    </row>
    <row r="143" customFormat="false" ht="15" hidden="false" customHeight="false" outlineLevel="0" collapsed="false">
      <c r="A143" s="1" t="s">
        <v>211</v>
      </c>
      <c r="B143" s="1" t="s">
        <v>388</v>
      </c>
      <c r="C143" s="7" t="n">
        <v>180</v>
      </c>
      <c r="D143" s="7" t="n">
        <v>85</v>
      </c>
      <c r="E143" s="7" t="n">
        <v>55</v>
      </c>
      <c r="F143" s="7" t="n">
        <v>50</v>
      </c>
      <c r="G143" s="7" t="s">
        <v>35</v>
      </c>
      <c r="H143" s="7" t="s">
        <v>35</v>
      </c>
    </row>
    <row r="144" customFormat="false" ht="15" hidden="false" customHeight="false" outlineLevel="0" collapsed="false">
      <c r="A144" s="1" t="s">
        <v>211</v>
      </c>
      <c r="B144" s="1" t="s">
        <v>389</v>
      </c>
      <c r="C144" s="7" t="n">
        <v>30</v>
      </c>
      <c r="D144" s="7" t="s">
        <v>35</v>
      </c>
      <c r="E144" s="7" t="s">
        <v>35</v>
      </c>
      <c r="F144" s="7" t="s">
        <v>35</v>
      </c>
      <c r="G144" s="7" t="s">
        <v>35</v>
      </c>
      <c r="H144" s="7" t="s">
        <v>35</v>
      </c>
    </row>
    <row r="145" customFormat="false" ht="15" hidden="false" customHeight="false" outlineLevel="0" collapsed="false">
      <c r="A145" s="1" t="s">
        <v>211</v>
      </c>
      <c r="B145" s="1" t="s">
        <v>390</v>
      </c>
      <c r="C145" s="7" t="n">
        <v>0</v>
      </c>
      <c r="D145" s="7" t="n">
        <v>0</v>
      </c>
      <c r="E145" s="7" t="n">
        <v>0</v>
      </c>
      <c r="F145" s="7" t="n">
        <v>0</v>
      </c>
      <c r="G145" s="7" t="s">
        <v>33</v>
      </c>
      <c r="H145" s="7" t="n">
        <v>0</v>
      </c>
    </row>
    <row r="146" customFormat="false" ht="15" hidden="false" customHeight="false" outlineLevel="0" collapsed="false">
      <c r="A146" s="1" t="s">
        <v>211</v>
      </c>
      <c r="B146" s="1" t="s">
        <v>391</v>
      </c>
      <c r="C146" s="7" t="n">
        <v>5</v>
      </c>
      <c r="D146" s="7" t="n">
        <v>5</v>
      </c>
      <c r="E146" s="7" t="n">
        <v>15</v>
      </c>
      <c r="F146" s="7" t="s">
        <v>33</v>
      </c>
      <c r="G146" s="7" t="n">
        <v>10</v>
      </c>
      <c r="H146" s="7" t="n">
        <v>10</v>
      </c>
    </row>
    <row r="147" customFormat="false" ht="15" hidden="false" customHeight="false" outlineLevel="0" collapsed="false">
      <c r="A147" s="1" t="s">
        <v>211</v>
      </c>
      <c r="B147" s="1" t="s">
        <v>392</v>
      </c>
      <c r="C147" s="7" t="n">
        <v>15</v>
      </c>
      <c r="D147" s="7" t="n">
        <v>0</v>
      </c>
      <c r="E147" s="7" t="n">
        <v>0</v>
      </c>
      <c r="F147" s="7" t="n">
        <v>0</v>
      </c>
      <c r="G147" s="7" t="n">
        <v>0</v>
      </c>
      <c r="H147" s="7" t="n">
        <v>0</v>
      </c>
    </row>
    <row r="148" customFormat="false" ht="15" hidden="false" customHeight="false" outlineLevel="0" collapsed="false">
      <c r="A148" s="1" t="s">
        <v>211</v>
      </c>
      <c r="B148" s="1" t="s">
        <v>225</v>
      </c>
      <c r="C148" s="7" t="n">
        <v>80</v>
      </c>
      <c r="D148" s="7" t="n">
        <v>70</v>
      </c>
      <c r="E148" s="7" t="n">
        <v>15</v>
      </c>
      <c r="F148" s="7" t="s">
        <v>33</v>
      </c>
      <c r="G148" s="7" t="n">
        <v>0</v>
      </c>
      <c r="H148" s="7" t="s">
        <v>35</v>
      </c>
    </row>
    <row r="149" customFormat="false" ht="15" hidden="false" customHeight="false" outlineLevel="0" collapsed="false">
      <c r="A149" s="1" t="s">
        <v>211</v>
      </c>
      <c r="B149" s="1" t="s">
        <v>393</v>
      </c>
      <c r="C149" s="7" t="n">
        <v>20</v>
      </c>
      <c r="D149" s="7" t="s">
        <v>33</v>
      </c>
      <c r="E149" s="7" t="n">
        <v>5</v>
      </c>
      <c r="F149" s="7" t="n">
        <v>0</v>
      </c>
      <c r="G149" s="7" t="n">
        <v>0</v>
      </c>
      <c r="H149" s="7" t="s">
        <v>35</v>
      </c>
    </row>
    <row r="150" customFormat="false" ht="15" hidden="false" customHeight="false" outlineLevel="0" collapsed="false">
      <c r="A150" s="1" t="s">
        <v>211</v>
      </c>
      <c r="B150" s="1" t="s">
        <v>394</v>
      </c>
      <c r="C150" s="7" t="n">
        <v>95</v>
      </c>
      <c r="D150" s="7" t="n">
        <v>60</v>
      </c>
      <c r="E150" s="7" t="n">
        <v>20</v>
      </c>
      <c r="F150" s="7" t="n">
        <v>15</v>
      </c>
      <c r="G150" s="7" t="n">
        <v>10</v>
      </c>
      <c r="H150" s="7" t="n">
        <v>0</v>
      </c>
    </row>
    <row r="151" customFormat="false" ht="15" hidden="false" customHeight="false" outlineLevel="0" collapsed="false">
      <c r="A151" s="1" t="s">
        <v>211</v>
      </c>
      <c r="B151" s="1" t="s">
        <v>395</v>
      </c>
      <c r="C151" s="7" t="n">
        <v>30</v>
      </c>
      <c r="D151" s="7" t="n">
        <v>15</v>
      </c>
      <c r="E151" s="7" t="n">
        <v>0</v>
      </c>
      <c r="F151" s="7" t="n">
        <v>10</v>
      </c>
      <c r="G151" s="7" t="n">
        <v>0</v>
      </c>
      <c r="H151" s="7" t="n">
        <v>0</v>
      </c>
    </row>
    <row r="152" customFormat="false" ht="15" hidden="false" customHeight="false" outlineLevel="0" collapsed="false">
      <c r="A152" s="1" t="s">
        <v>211</v>
      </c>
      <c r="B152" s="1" t="s">
        <v>396</v>
      </c>
      <c r="C152" s="7" t="n">
        <v>10</v>
      </c>
      <c r="D152" s="7" t="n">
        <v>15</v>
      </c>
      <c r="E152" s="7" t="n">
        <v>15</v>
      </c>
      <c r="F152" s="7" t="n">
        <v>15</v>
      </c>
      <c r="G152" s="7" t="n">
        <v>75</v>
      </c>
      <c r="H152" s="7" t="n">
        <v>25</v>
      </c>
    </row>
    <row r="153" customFormat="false" ht="15" hidden="false" customHeight="false" outlineLevel="0" collapsed="false">
      <c r="A153" s="1" t="s">
        <v>211</v>
      </c>
      <c r="B153" s="1" t="s">
        <v>397</v>
      </c>
      <c r="C153" s="7" t="n">
        <v>165</v>
      </c>
      <c r="D153" s="7" t="n">
        <v>155</v>
      </c>
      <c r="E153" s="7" t="n">
        <v>105</v>
      </c>
      <c r="F153" s="7" t="n">
        <v>45</v>
      </c>
      <c r="G153" s="7" t="n">
        <v>110</v>
      </c>
      <c r="H153" s="7" t="n">
        <v>110</v>
      </c>
    </row>
    <row r="154" customFormat="false" ht="15" hidden="false" customHeight="false" outlineLevel="0" collapsed="false">
      <c r="A154" s="1" t="s">
        <v>211</v>
      </c>
      <c r="B154" s="1" t="s">
        <v>398</v>
      </c>
      <c r="C154" s="7" t="n">
        <v>45</v>
      </c>
      <c r="D154" s="7" t="s">
        <v>35</v>
      </c>
      <c r="E154" s="7" t="s">
        <v>35</v>
      </c>
      <c r="F154" s="7" t="s">
        <v>35</v>
      </c>
      <c r="G154" s="7" t="s">
        <v>35</v>
      </c>
      <c r="H154" s="7" t="s">
        <v>35</v>
      </c>
    </row>
    <row r="155" customFormat="false" ht="15" hidden="false" customHeight="false" outlineLevel="0" collapsed="false">
      <c r="A155" s="1" t="s">
        <v>211</v>
      </c>
      <c r="B155" s="1" t="s">
        <v>399</v>
      </c>
      <c r="C155" s="7" t="n">
        <v>15</v>
      </c>
      <c r="D155" s="7" t="n">
        <v>20</v>
      </c>
      <c r="E155" s="7" t="n">
        <v>40</v>
      </c>
      <c r="F155" s="7" t="n">
        <v>15</v>
      </c>
      <c r="G155" s="7" t="n">
        <v>25</v>
      </c>
      <c r="H155" s="7" t="n">
        <v>45</v>
      </c>
    </row>
    <row r="156" customFormat="false" ht="15" hidden="false" customHeight="false" outlineLevel="0" collapsed="false">
      <c r="A156" s="1" t="s">
        <v>211</v>
      </c>
      <c r="B156" s="1" t="s">
        <v>400</v>
      </c>
      <c r="C156" s="7" t="n">
        <v>15</v>
      </c>
      <c r="D156" s="7" t="n">
        <v>30</v>
      </c>
      <c r="E156" s="7" t="n">
        <v>10</v>
      </c>
      <c r="F156" s="7" t="n">
        <v>10</v>
      </c>
      <c r="G156" s="7" t="n">
        <v>0</v>
      </c>
      <c r="H156" s="7" t="s">
        <v>35</v>
      </c>
    </row>
    <row r="157" customFormat="false" ht="15" hidden="false" customHeight="false" outlineLevel="0" collapsed="false">
      <c r="A157" s="1" t="s">
        <v>211</v>
      </c>
      <c r="B157" s="1" t="s">
        <v>311</v>
      </c>
      <c r="C157" s="7" t="n">
        <v>0</v>
      </c>
      <c r="D157" s="7" t="n">
        <v>0</v>
      </c>
      <c r="E157" s="7" t="n">
        <v>0</v>
      </c>
      <c r="F157" s="7" t="s">
        <v>33</v>
      </c>
      <c r="G157" s="7" t="s">
        <v>33</v>
      </c>
      <c r="H157" s="7" t="s">
        <v>33</v>
      </c>
    </row>
    <row r="158" customFormat="false" ht="15" hidden="false" customHeight="false" outlineLevel="0" collapsed="false">
      <c r="A158" s="1" t="s">
        <v>211</v>
      </c>
      <c r="B158" s="1" t="s">
        <v>401</v>
      </c>
      <c r="C158" s="7" t="s">
        <v>35</v>
      </c>
      <c r="D158" s="7" t="s">
        <v>35</v>
      </c>
      <c r="E158" s="7" t="n">
        <v>50</v>
      </c>
      <c r="F158" s="7" t="n">
        <v>10</v>
      </c>
      <c r="G158" s="7" t="n">
        <v>0</v>
      </c>
      <c r="H158" s="7" t="s">
        <v>33</v>
      </c>
    </row>
    <row r="159" customFormat="false" ht="15" hidden="false" customHeight="false" outlineLevel="0" collapsed="false">
      <c r="A159" s="1" t="s">
        <v>211</v>
      </c>
      <c r="B159" s="1" t="s">
        <v>402</v>
      </c>
      <c r="C159" s="7" t="n">
        <v>30</v>
      </c>
      <c r="D159" s="7" t="n">
        <v>15</v>
      </c>
      <c r="E159" s="7" t="n">
        <v>25</v>
      </c>
      <c r="F159" s="7" t="n">
        <v>20</v>
      </c>
      <c r="G159" s="7" t="n">
        <v>35</v>
      </c>
      <c r="H159" s="7" t="n">
        <v>0</v>
      </c>
    </row>
    <row r="160" customFormat="false" ht="15" hidden="false" customHeight="false" outlineLevel="0" collapsed="false">
      <c r="A160" s="1" t="s">
        <v>211</v>
      </c>
      <c r="B160" s="1" t="s">
        <v>312</v>
      </c>
      <c r="C160" s="7" t="n">
        <v>335</v>
      </c>
      <c r="D160" s="7" t="n">
        <v>350</v>
      </c>
      <c r="E160" s="7" t="n">
        <v>180</v>
      </c>
      <c r="F160" s="7" t="n">
        <v>215</v>
      </c>
      <c r="G160" s="7" t="n">
        <v>285</v>
      </c>
      <c r="H160" s="7" t="n">
        <v>205</v>
      </c>
    </row>
    <row r="161" customFormat="false" ht="15" hidden="false" customHeight="false" outlineLevel="0" collapsed="false">
      <c r="A161" s="1" t="s">
        <v>211</v>
      </c>
      <c r="B161" s="1" t="s">
        <v>403</v>
      </c>
      <c r="C161" s="7" t="s">
        <v>35</v>
      </c>
      <c r="D161" s="7" t="s">
        <v>35</v>
      </c>
      <c r="E161" s="7" t="s">
        <v>35</v>
      </c>
      <c r="F161" s="7" t="s">
        <v>35</v>
      </c>
      <c r="G161" s="7" t="n">
        <v>0</v>
      </c>
      <c r="H161" s="7" t="s">
        <v>33</v>
      </c>
    </row>
    <row r="162" customFormat="false" ht="15" hidden="false" customHeight="false" outlineLevel="0" collapsed="false">
      <c r="A162" s="1" t="s">
        <v>211</v>
      </c>
      <c r="B162" s="1" t="s">
        <v>404</v>
      </c>
      <c r="C162" s="7" t="n">
        <v>65</v>
      </c>
      <c r="D162" s="7" t="n">
        <v>190</v>
      </c>
      <c r="E162" s="7" t="n">
        <v>85</v>
      </c>
      <c r="F162" s="7" t="n">
        <v>85</v>
      </c>
      <c r="G162" s="7" t="n">
        <v>45</v>
      </c>
      <c r="H162" s="7" t="n">
        <v>40</v>
      </c>
    </row>
    <row r="163" customFormat="false" ht="15" hidden="false" customHeight="false" outlineLevel="0" collapsed="false">
      <c r="A163" s="1" t="s">
        <v>211</v>
      </c>
      <c r="B163" s="1" t="s">
        <v>169</v>
      </c>
      <c r="C163" s="7" t="n">
        <v>1390</v>
      </c>
      <c r="D163" s="7" t="n">
        <v>1070</v>
      </c>
      <c r="E163" s="7" t="n">
        <v>900</v>
      </c>
      <c r="F163" s="7" t="n">
        <v>785</v>
      </c>
      <c r="G163" s="7" t="n">
        <v>670</v>
      </c>
      <c r="H163" s="7" t="n">
        <v>480</v>
      </c>
    </row>
    <row r="164" customFormat="false" ht="15" hidden="false" customHeight="false" outlineLevel="0" collapsed="false">
      <c r="A164" s="1" t="s">
        <v>211</v>
      </c>
      <c r="B164" s="1" t="s">
        <v>405</v>
      </c>
      <c r="C164" s="7" t="n">
        <v>35</v>
      </c>
      <c r="D164" s="7" t="n">
        <v>25</v>
      </c>
      <c r="E164" s="7" t="n">
        <v>65</v>
      </c>
      <c r="F164" s="7" t="n">
        <v>45</v>
      </c>
      <c r="G164" s="7" t="n">
        <v>70</v>
      </c>
      <c r="H164" s="7" t="n">
        <v>165</v>
      </c>
    </row>
    <row r="165" customFormat="false" ht="15" hidden="false" customHeight="false" outlineLevel="0" collapsed="false">
      <c r="A165" s="1" t="s">
        <v>211</v>
      </c>
      <c r="B165" s="1" t="s">
        <v>406</v>
      </c>
      <c r="C165" s="7" t="s">
        <v>33</v>
      </c>
      <c r="D165" s="7" t="n">
        <v>10</v>
      </c>
      <c r="E165" s="7" t="n">
        <v>25</v>
      </c>
      <c r="F165" s="7" t="n">
        <v>125</v>
      </c>
      <c r="G165" s="7" t="n">
        <v>120</v>
      </c>
      <c r="H165" s="7" t="n">
        <v>25</v>
      </c>
    </row>
    <row r="166" customFormat="false" ht="15" hidden="false" customHeight="false" outlineLevel="0" collapsed="false">
      <c r="A166" s="1" t="s">
        <v>211</v>
      </c>
      <c r="B166" s="1" t="s">
        <v>285</v>
      </c>
      <c r="C166" s="7" t="n">
        <v>130</v>
      </c>
      <c r="D166" s="7" t="n">
        <v>35</v>
      </c>
      <c r="E166" s="7" t="n">
        <v>130</v>
      </c>
      <c r="F166" s="7" t="n">
        <v>30</v>
      </c>
      <c r="G166" s="7" t="n">
        <v>10</v>
      </c>
      <c r="H166" s="7" t="s">
        <v>35</v>
      </c>
    </row>
    <row r="167" customFormat="false" ht="15" hidden="false" customHeight="false" outlineLevel="0" collapsed="false">
      <c r="A167" s="1" t="s">
        <v>211</v>
      </c>
      <c r="B167" s="1" t="s">
        <v>164</v>
      </c>
      <c r="C167" s="7" t="n">
        <v>160</v>
      </c>
      <c r="D167" s="7" t="n">
        <v>95</v>
      </c>
      <c r="E167" s="7" t="n">
        <v>55</v>
      </c>
      <c r="F167" s="7" t="n">
        <v>25</v>
      </c>
      <c r="G167" s="7" t="n">
        <v>0</v>
      </c>
      <c r="H167" s="7" t="s">
        <v>35</v>
      </c>
    </row>
    <row r="168" customFormat="false" ht="15" hidden="false" customHeight="false" outlineLevel="0" collapsed="false">
      <c r="A168" s="1" t="s">
        <v>211</v>
      </c>
      <c r="B168" s="1" t="s">
        <v>407</v>
      </c>
      <c r="C168" s="7" t="s">
        <v>33</v>
      </c>
      <c r="D168" s="7" t="s">
        <v>33</v>
      </c>
      <c r="E168" s="7" t="s">
        <v>33</v>
      </c>
      <c r="F168" s="7" t="n">
        <v>0</v>
      </c>
      <c r="G168" s="7" t="n">
        <v>0</v>
      </c>
      <c r="H168" s="7" t="s">
        <v>35</v>
      </c>
    </row>
    <row r="169" customFormat="false" ht="15" hidden="false" customHeight="false" outlineLevel="0" collapsed="false">
      <c r="A169" s="1" t="s">
        <v>211</v>
      </c>
      <c r="B169" s="1" t="s">
        <v>408</v>
      </c>
      <c r="C169" s="7" t="n">
        <v>60</v>
      </c>
      <c r="D169" s="7" t="n">
        <v>35</v>
      </c>
      <c r="E169" s="7" t="n">
        <v>20</v>
      </c>
      <c r="F169" s="7" t="n">
        <v>15</v>
      </c>
      <c r="G169" s="7" t="n">
        <v>0</v>
      </c>
      <c r="H169" s="7" t="s">
        <v>35</v>
      </c>
    </row>
    <row r="170" customFormat="false" ht="15" hidden="false" customHeight="false" outlineLevel="0" collapsed="false">
      <c r="A170" s="1" t="s">
        <v>211</v>
      </c>
      <c r="B170" s="1" t="s">
        <v>409</v>
      </c>
      <c r="C170" s="7" t="n">
        <v>20</v>
      </c>
      <c r="D170" s="7" t="n">
        <v>45</v>
      </c>
      <c r="E170" s="7" t="n">
        <v>25</v>
      </c>
      <c r="F170" s="7" t="n">
        <v>35</v>
      </c>
      <c r="G170" s="7" t="n">
        <v>15</v>
      </c>
      <c r="H170" s="7" t="n">
        <v>20</v>
      </c>
    </row>
    <row r="171" customFormat="false" ht="15" hidden="false" customHeight="false" outlineLevel="0" collapsed="false">
      <c r="A171" s="1" t="s">
        <v>211</v>
      </c>
      <c r="B171" s="1" t="s">
        <v>227</v>
      </c>
      <c r="C171" s="7" t="n">
        <v>160</v>
      </c>
      <c r="D171" s="7" t="n">
        <v>85</v>
      </c>
      <c r="E171" s="7" t="n">
        <v>65</v>
      </c>
      <c r="F171" s="7" t="n">
        <v>90</v>
      </c>
      <c r="G171" s="7" t="n">
        <v>115</v>
      </c>
      <c r="H171" s="7" t="n">
        <v>75</v>
      </c>
    </row>
    <row r="172" customFormat="false" ht="15" hidden="false" customHeight="false" outlineLevel="0" collapsed="false">
      <c r="A172" s="1" t="s">
        <v>211</v>
      </c>
      <c r="B172" s="1" t="s">
        <v>279</v>
      </c>
      <c r="C172" s="7" t="n">
        <v>65</v>
      </c>
      <c r="D172" s="7" t="n">
        <v>25</v>
      </c>
      <c r="E172" s="7" t="n">
        <v>30</v>
      </c>
      <c r="F172" s="7" t="n">
        <v>35</v>
      </c>
      <c r="G172" s="7" t="n">
        <v>45</v>
      </c>
      <c r="H172" s="7" t="n">
        <v>85</v>
      </c>
    </row>
    <row r="173" customFormat="false" ht="15" hidden="false" customHeight="false" outlineLevel="0" collapsed="false">
      <c r="A173" s="1" t="s">
        <v>211</v>
      </c>
      <c r="B173" s="1" t="s">
        <v>280</v>
      </c>
      <c r="C173" s="7" t="n">
        <v>15</v>
      </c>
      <c r="D173" s="7" t="n">
        <v>10</v>
      </c>
      <c r="E173" s="7" t="n">
        <v>5</v>
      </c>
      <c r="F173" s="7" t="n">
        <v>5</v>
      </c>
      <c r="G173" s="7" t="n">
        <v>5</v>
      </c>
      <c r="H173" s="7" t="n">
        <v>35</v>
      </c>
    </row>
    <row r="174" customFormat="false" ht="15" hidden="false" customHeight="false" outlineLevel="0" collapsed="false">
      <c r="A174" s="1" t="s">
        <v>211</v>
      </c>
      <c r="B174" s="1" t="s">
        <v>410</v>
      </c>
      <c r="C174" s="7" t="n">
        <v>20</v>
      </c>
      <c r="D174" s="7" t="n">
        <v>5</v>
      </c>
      <c r="E174" s="7" t="n">
        <v>20</v>
      </c>
      <c r="F174" s="7" t="n">
        <v>0</v>
      </c>
      <c r="G174" s="7" t="n">
        <v>0</v>
      </c>
      <c r="H174" s="7" t="s">
        <v>35</v>
      </c>
    </row>
    <row r="175" customFormat="false" ht="15" hidden="false" customHeight="false" outlineLevel="0" collapsed="false">
      <c r="A175" s="1" t="s">
        <v>211</v>
      </c>
      <c r="B175" s="1" t="s">
        <v>411</v>
      </c>
      <c r="C175" s="7" t="n">
        <v>125</v>
      </c>
      <c r="D175" s="7" t="n">
        <v>150</v>
      </c>
      <c r="E175" s="7" t="n">
        <v>120</v>
      </c>
      <c r="F175" s="7" t="n">
        <v>110</v>
      </c>
      <c r="G175" s="7" t="n">
        <v>50</v>
      </c>
      <c r="H175" s="7" t="n">
        <v>35</v>
      </c>
    </row>
    <row r="176" customFormat="false" ht="15" hidden="false" customHeight="false" outlineLevel="0" collapsed="false">
      <c r="A176" s="1" t="s">
        <v>211</v>
      </c>
      <c r="B176" s="1" t="s">
        <v>412</v>
      </c>
      <c r="C176" s="7" t="n">
        <v>15</v>
      </c>
      <c r="D176" s="7" t="n">
        <v>0</v>
      </c>
      <c r="E176" s="7" t="n">
        <v>0</v>
      </c>
      <c r="F176" s="7" t="n">
        <v>0</v>
      </c>
      <c r="G176" s="7" t="n">
        <v>0</v>
      </c>
      <c r="H176" s="7" t="n">
        <v>5</v>
      </c>
    </row>
    <row r="177" customFormat="false" ht="15" hidden="false" customHeight="false" outlineLevel="0" collapsed="false">
      <c r="A177" s="1" t="s">
        <v>211</v>
      </c>
      <c r="B177" s="1" t="s">
        <v>413</v>
      </c>
      <c r="C177" s="7" t="n">
        <v>1165</v>
      </c>
      <c r="D177" s="7" t="n">
        <v>865</v>
      </c>
      <c r="E177" s="7" t="n">
        <v>580</v>
      </c>
      <c r="F177" s="7" t="n">
        <v>300</v>
      </c>
      <c r="G177" s="7" t="n">
        <v>215</v>
      </c>
      <c r="H177" s="7" t="n">
        <v>90</v>
      </c>
    </row>
    <row r="178" customFormat="false" ht="15" hidden="false" customHeight="false" outlineLevel="0" collapsed="false">
      <c r="A178" s="1" t="s">
        <v>211</v>
      </c>
      <c r="B178" s="1" t="s">
        <v>414</v>
      </c>
      <c r="C178" s="7" t="s">
        <v>35</v>
      </c>
      <c r="D178" s="7" t="n">
        <v>0</v>
      </c>
      <c r="E178" s="7" t="n">
        <v>0</v>
      </c>
      <c r="F178" s="7" t="n">
        <v>0</v>
      </c>
      <c r="G178" s="7" t="n">
        <v>0</v>
      </c>
      <c r="H178" s="7" t="s">
        <v>33</v>
      </c>
    </row>
    <row r="179" customFormat="false" ht="15" hidden="false" customHeight="false" outlineLevel="0" collapsed="false">
      <c r="A179" s="1" t="s">
        <v>211</v>
      </c>
      <c r="B179" s="1" t="s">
        <v>415</v>
      </c>
      <c r="C179" s="7" t="n">
        <v>0</v>
      </c>
      <c r="D179" s="7" t="s">
        <v>33</v>
      </c>
      <c r="E179" s="7" t="n">
        <v>0</v>
      </c>
      <c r="F179" s="7" t="n">
        <v>0</v>
      </c>
      <c r="G179" s="7" t="n">
        <v>0</v>
      </c>
      <c r="H179" s="7" t="s">
        <v>33</v>
      </c>
    </row>
    <row r="180" customFormat="false" ht="15" hidden="false" customHeight="false" outlineLevel="0" collapsed="false">
      <c r="A180" s="1" t="s">
        <v>211</v>
      </c>
      <c r="B180" s="1" t="s">
        <v>416</v>
      </c>
      <c r="C180" s="7" t="n">
        <v>0</v>
      </c>
      <c r="D180" s="7" t="s">
        <v>33</v>
      </c>
      <c r="E180" s="7" t="s">
        <v>33</v>
      </c>
      <c r="F180" s="7" t="n">
        <v>0</v>
      </c>
      <c r="G180" s="7" t="s">
        <v>33</v>
      </c>
      <c r="H180" s="7" t="s">
        <v>33</v>
      </c>
    </row>
    <row r="181" customFormat="false" ht="15" hidden="false" customHeight="false" outlineLevel="0" collapsed="false">
      <c r="A181" s="1" t="s">
        <v>211</v>
      </c>
      <c r="B181" s="1" t="s">
        <v>417</v>
      </c>
      <c r="C181" s="7" t="n">
        <v>0</v>
      </c>
      <c r="D181" s="7" t="s">
        <v>33</v>
      </c>
      <c r="E181" s="7" t="n">
        <v>5</v>
      </c>
      <c r="F181" s="7" t="s">
        <v>33</v>
      </c>
      <c r="G181" s="7" t="n">
        <v>10</v>
      </c>
      <c r="H181" s="7" t="n">
        <v>15</v>
      </c>
    </row>
    <row r="182" customFormat="false" ht="15" hidden="false" customHeight="false" outlineLevel="0" collapsed="false">
      <c r="A182" s="1" t="s">
        <v>211</v>
      </c>
      <c r="B182" s="1" t="s">
        <v>418</v>
      </c>
      <c r="C182" s="7" t="n">
        <v>0</v>
      </c>
      <c r="D182" s="7" t="n">
        <v>0</v>
      </c>
      <c r="E182" s="7" t="n">
        <v>0</v>
      </c>
      <c r="F182" s="7" t="n">
        <v>0</v>
      </c>
      <c r="G182" s="7" t="s">
        <v>33</v>
      </c>
      <c r="H182" s="7" t="s">
        <v>33</v>
      </c>
    </row>
    <row r="183" customFormat="false" ht="15" hidden="false" customHeight="false" outlineLevel="0" collapsed="false">
      <c r="A183" s="1" t="s">
        <v>211</v>
      </c>
      <c r="B183" s="1" t="s">
        <v>419</v>
      </c>
      <c r="C183" s="7" t="n">
        <v>5</v>
      </c>
      <c r="D183" s="7" t="n">
        <v>5</v>
      </c>
      <c r="E183" s="7" t="s">
        <v>33</v>
      </c>
      <c r="F183" s="7" t="n">
        <v>5</v>
      </c>
      <c r="G183" s="7" t="s">
        <v>33</v>
      </c>
      <c r="H183" s="7" t="n">
        <v>5</v>
      </c>
    </row>
    <row r="184" customFormat="false" ht="15" hidden="false" customHeight="false" outlineLevel="0" collapsed="false">
      <c r="A184" s="1" t="s">
        <v>211</v>
      </c>
      <c r="B184" s="1" t="s">
        <v>420</v>
      </c>
      <c r="C184" s="7" t="n">
        <v>25</v>
      </c>
      <c r="D184" s="7" t="n">
        <v>40</v>
      </c>
      <c r="E184" s="7" t="n">
        <v>40</v>
      </c>
      <c r="F184" s="7" t="n">
        <v>30</v>
      </c>
      <c r="G184" s="7" t="n">
        <v>40</v>
      </c>
      <c r="H184" s="7" t="n">
        <v>30</v>
      </c>
    </row>
    <row r="185" customFormat="false" ht="15" hidden="false" customHeight="false" outlineLevel="0" collapsed="false">
      <c r="A185" s="1" t="s">
        <v>211</v>
      </c>
      <c r="B185" s="1" t="s">
        <v>421</v>
      </c>
      <c r="C185" s="7" t="n">
        <v>0</v>
      </c>
      <c r="D185" s="7" t="n">
        <v>0</v>
      </c>
      <c r="E185" s="7" t="n">
        <v>0</v>
      </c>
      <c r="F185" s="7" t="s">
        <v>33</v>
      </c>
      <c r="G185" s="7" t="s">
        <v>33</v>
      </c>
      <c r="H185" s="7" t="s">
        <v>33</v>
      </c>
    </row>
    <row r="186" customFormat="false" ht="15" hidden="false" customHeight="false" outlineLevel="0" collapsed="false">
      <c r="A186" s="1" t="s">
        <v>211</v>
      </c>
      <c r="B186" s="1" t="s">
        <v>422</v>
      </c>
      <c r="C186" s="7" t="n">
        <v>5</v>
      </c>
      <c r="D186" s="7" t="s">
        <v>33</v>
      </c>
      <c r="E186" s="7" t="n">
        <v>10</v>
      </c>
      <c r="F186" s="7" t="s">
        <v>33</v>
      </c>
      <c r="G186" s="7" t="s">
        <v>33</v>
      </c>
      <c r="H186" s="7" t="s">
        <v>33</v>
      </c>
    </row>
    <row r="187" customFormat="false" ht="15" hidden="false" customHeight="false" outlineLevel="0" collapsed="false">
      <c r="A187" s="1" t="s">
        <v>211</v>
      </c>
      <c r="B187" s="1" t="s">
        <v>423</v>
      </c>
      <c r="C187" s="7" t="n">
        <v>0</v>
      </c>
      <c r="D187" s="7" t="n">
        <v>0</v>
      </c>
      <c r="E187" s="7" t="n">
        <v>0</v>
      </c>
      <c r="F187" s="7" t="n">
        <v>0</v>
      </c>
      <c r="G187" s="7" t="n">
        <v>0</v>
      </c>
      <c r="H187" s="7" t="s">
        <v>33</v>
      </c>
    </row>
    <row r="188" customFormat="false" ht="15" hidden="false" customHeight="false" outlineLevel="0" collapsed="false">
      <c r="A188" s="1" t="s">
        <v>211</v>
      </c>
      <c r="B188" s="1" t="s">
        <v>424</v>
      </c>
      <c r="C188" s="7" t="n">
        <v>0</v>
      </c>
      <c r="D188" s="7" t="s">
        <v>33</v>
      </c>
      <c r="E188" s="7" t="s">
        <v>33</v>
      </c>
      <c r="F188" s="7" t="n">
        <v>0</v>
      </c>
      <c r="G188" s="7" t="s">
        <v>33</v>
      </c>
      <c r="H188" s="7" t="n">
        <v>0</v>
      </c>
    </row>
    <row r="189" customFormat="false" ht="15" hidden="false" customHeight="false" outlineLevel="0" collapsed="false">
      <c r="A189" s="1" t="s">
        <v>211</v>
      </c>
      <c r="B189" s="1" t="s">
        <v>425</v>
      </c>
      <c r="C189" s="7" t="n">
        <v>0</v>
      </c>
      <c r="D189" s="7" t="n">
        <v>0</v>
      </c>
      <c r="E189" s="7" t="n">
        <v>0</v>
      </c>
      <c r="F189" s="7" t="s">
        <v>33</v>
      </c>
      <c r="G189" s="7" t="n">
        <v>15</v>
      </c>
      <c r="H189" s="7" t="n">
        <v>20</v>
      </c>
    </row>
    <row r="190" customFormat="false" ht="15" hidden="false" customHeight="false" outlineLevel="0" collapsed="false">
      <c r="A190" s="1" t="s">
        <v>211</v>
      </c>
      <c r="B190" s="1" t="s">
        <v>426</v>
      </c>
      <c r="C190" s="7" t="s">
        <v>35</v>
      </c>
      <c r="D190" s="7" t="s">
        <v>33</v>
      </c>
      <c r="E190" s="7" t="n">
        <v>0</v>
      </c>
      <c r="F190" s="7" t="n">
        <v>0</v>
      </c>
      <c r="G190" s="7" t="n">
        <v>5</v>
      </c>
      <c r="H190" s="7" t="n">
        <v>0</v>
      </c>
    </row>
    <row r="191" customFormat="false" ht="15" hidden="false" customHeight="false" outlineLevel="0" collapsed="false">
      <c r="A191" s="1" t="s">
        <v>211</v>
      </c>
      <c r="B191" s="1" t="s">
        <v>427</v>
      </c>
      <c r="C191" s="7" t="n">
        <v>10</v>
      </c>
      <c r="D191" s="7" t="n">
        <v>10</v>
      </c>
      <c r="E191" s="7" t="n">
        <v>20</v>
      </c>
      <c r="F191" s="7" t="n">
        <v>0</v>
      </c>
      <c r="G191" s="7" t="n">
        <v>15</v>
      </c>
      <c r="H191" s="7" t="n">
        <v>20</v>
      </c>
    </row>
    <row r="192" customFormat="false" ht="15" hidden="false" customHeight="false" outlineLevel="0" collapsed="false">
      <c r="A192" s="1" t="s">
        <v>211</v>
      </c>
      <c r="B192" s="1" t="s">
        <v>428</v>
      </c>
      <c r="C192" s="7" t="n">
        <v>10</v>
      </c>
      <c r="D192" s="7" t="n">
        <v>10</v>
      </c>
      <c r="E192" s="7" t="n">
        <v>30</v>
      </c>
      <c r="F192" s="7" t="s">
        <v>33</v>
      </c>
      <c r="G192" s="7" t="n">
        <v>15</v>
      </c>
      <c r="H192" s="7" t="n">
        <v>20</v>
      </c>
    </row>
    <row r="193" customFormat="false" ht="15" hidden="false" customHeight="false" outlineLevel="0" collapsed="false">
      <c r="A193" s="1" t="s">
        <v>211</v>
      </c>
      <c r="B193" s="1" t="s">
        <v>429</v>
      </c>
      <c r="C193" s="7" t="n">
        <v>0</v>
      </c>
      <c r="D193" s="7" t="s">
        <v>33</v>
      </c>
      <c r="E193" s="7" t="n">
        <v>0</v>
      </c>
      <c r="F193" s="7" t="s">
        <v>33</v>
      </c>
      <c r="G193" s="7" t="s">
        <v>33</v>
      </c>
      <c r="H193" s="7" t="s">
        <v>33</v>
      </c>
    </row>
    <row r="194" customFormat="false" ht="15" hidden="false" customHeight="false" outlineLevel="0" collapsed="false">
      <c r="A194" s="1" t="s">
        <v>211</v>
      </c>
      <c r="B194" s="1" t="s">
        <v>430</v>
      </c>
      <c r="C194" s="7" t="n">
        <v>0</v>
      </c>
      <c r="D194" s="7" t="n">
        <v>0</v>
      </c>
      <c r="E194" s="7" t="n">
        <v>0</v>
      </c>
      <c r="F194" s="7" t="n">
        <v>0</v>
      </c>
      <c r="G194" s="7" t="n">
        <v>0</v>
      </c>
      <c r="H194" s="7" t="n">
        <v>5</v>
      </c>
    </row>
    <row r="195" customFormat="false" ht="15" hidden="false" customHeight="false" outlineLevel="0" collapsed="false">
      <c r="A195" s="1" t="s">
        <v>211</v>
      </c>
      <c r="B195" s="1" t="s">
        <v>431</v>
      </c>
      <c r="C195" s="7" t="n">
        <v>0</v>
      </c>
      <c r="D195" s="7" t="s">
        <v>33</v>
      </c>
      <c r="E195" s="7" t="n">
        <v>0</v>
      </c>
      <c r="F195" s="7" t="n">
        <v>0</v>
      </c>
      <c r="G195" s="7" t="s">
        <v>33</v>
      </c>
      <c r="H195" s="7" t="n">
        <v>5</v>
      </c>
    </row>
    <row r="196" customFormat="false" ht="15" hidden="false" customHeight="false" outlineLevel="0" collapsed="false">
      <c r="A196" s="1" t="s">
        <v>211</v>
      </c>
      <c r="B196" s="1" t="s">
        <v>432</v>
      </c>
      <c r="C196" s="7" t="s">
        <v>33</v>
      </c>
      <c r="D196" s="7" t="n">
        <v>15</v>
      </c>
      <c r="E196" s="7" t="n">
        <v>15</v>
      </c>
      <c r="F196" s="7" t="n">
        <v>0</v>
      </c>
      <c r="G196" s="7" t="n">
        <v>10</v>
      </c>
      <c r="H196" s="7" t="n">
        <v>20</v>
      </c>
    </row>
    <row r="197" customFormat="false" ht="15" hidden="false" customHeight="false" outlineLevel="0" collapsed="false">
      <c r="A197" s="1" t="s">
        <v>211</v>
      </c>
      <c r="B197" s="1" t="s">
        <v>433</v>
      </c>
      <c r="C197" s="7" t="n">
        <v>20</v>
      </c>
      <c r="D197" s="7" t="n">
        <v>80</v>
      </c>
      <c r="E197" s="7" t="n">
        <v>50</v>
      </c>
      <c r="F197" s="7" t="n">
        <v>5</v>
      </c>
      <c r="G197" s="7" t="n">
        <v>65</v>
      </c>
      <c r="H197" s="7" t="n">
        <v>55</v>
      </c>
    </row>
    <row r="198" customFormat="false" ht="15" hidden="false" customHeight="false" outlineLevel="0" collapsed="false">
      <c r="A198" s="1" t="s">
        <v>211</v>
      </c>
      <c r="B198" s="1" t="s">
        <v>434</v>
      </c>
      <c r="C198" s="7" t="n">
        <v>0</v>
      </c>
      <c r="D198" s="7" t="n">
        <v>0</v>
      </c>
      <c r="E198" s="7" t="n">
        <v>0</v>
      </c>
      <c r="F198" s="7" t="s">
        <v>33</v>
      </c>
      <c r="G198" s="7" t="n">
        <v>0</v>
      </c>
      <c r="H198" s="7" t="n">
        <v>5</v>
      </c>
    </row>
    <row r="199" customFormat="false" ht="15" hidden="false" customHeight="false" outlineLevel="0" collapsed="false">
      <c r="A199" s="1" t="s">
        <v>211</v>
      </c>
      <c r="B199" s="1" t="s">
        <v>435</v>
      </c>
      <c r="C199" s="7" t="n">
        <v>0</v>
      </c>
      <c r="D199" s="7" t="n">
        <v>15</v>
      </c>
      <c r="E199" s="7" t="n">
        <v>10</v>
      </c>
      <c r="F199" s="7" t="n">
        <v>0</v>
      </c>
      <c r="G199" s="7" t="n">
        <v>15</v>
      </c>
      <c r="H199" s="7" t="n">
        <v>0</v>
      </c>
    </row>
    <row r="200" customFormat="false" ht="15" hidden="false" customHeight="false" outlineLevel="0" collapsed="false">
      <c r="A200" s="1" t="s">
        <v>211</v>
      </c>
      <c r="B200" s="1" t="s">
        <v>436</v>
      </c>
      <c r="C200" s="7" t="n">
        <v>20</v>
      </c>
      <c r="D200" s="7" t="n">
        <v>0</v>
      </c>
      <c r="E200" s="7" t="n">
        <v>0</v>
      </c>
      <c r="F200" s="7" t="n">
        <v>0</v>
      </c>
      <c r="G200" s="7" t="n">
        <v>25</v>
      </c>
      <c r="H200" s="7" t="n">
        <v>35</v>
      </c>
    </row>
    <row r="201" customFormat="false" ht="15" hidden="false" customHeight="false" outlineLevel="0" collapsed="false">
      <c r="A201" s="1" t="s">
        <v>211</v>
      </c>
      <c r="B201" s="1" t="s">
        <v>437</v>
      </c>
      <c r="C201" s="7" t="n">
        <v>5</v>
      </c>
      <c r="D201" s="7" t="n">
        <v>60</v>
      </c>
      <c r="E201" s="7" t="n">
        <v>20</v>
      </c>
      <c r="F201" s="7" t="n">
        <v>10</v>
      </c>
      <c r="G201" s="7" t="n">
        <v>25</v>
      </c>
      <c r="H201" s="7" t="n">
        <v>30</v>
      </c>
    </row>
    <row r="202" customFormat="false" ht="15" hidden="false" customHeight="false" outlineLevel="0" collapsed="false">
      <c r="A202" s="1" t="s">
        <v>211</v>
      </c>
      <c r="B202" s="1" t="s">
        <v>438</v>
      </c>
      <c r="C202" s="7" t="n">
        <v>0</v>
      </c>
      <c r="D202" s="7" t="s">
        <v>33</v>
      </c>
      <c r="E202" s="7" t="s">
        <v>33</v>
      </c>
      <c r="F202" s="7" t="s">
        <v>33</v>
      </c>
      <c r="G202" s="7" t="s">
        <v>33</v>
      </c>
      <c r="H202" s="7" t="s">
        <v>33</v>
      </c>
    </row>
    <row r="203" customFormat="false" ht="15" hidden="false" customHeight="false" outlineLevel="0" collapsed="false">
      <c r="A203" s="1" t="s">
        <v>211</v>
      </c>
      <c r="B203" s="1" t="s">
        <v>439</v>
      </c>
      <c r="C203" s="7" t="n">
        <v>0</v>
      </c>
      <c r="D203" s="7" t="n">
        <v>0</v>
      </c>
      <c r="E203" s="7" t="n">
        <v>10</v>
      </c>
      <c r="F203" s="7" t="n">
        <v>0</v>
      </c>
      <c r="G203" s="7" t="n">
        <v>320</v>
      </c>
      <c r="H203" s="7" t="n">
        <v>400</v>
      </c>
    </row>
    <row r="204" customFormat="false" ht="15" hidden="false" customHeight="false" outlineLevel="0" collapsed="false">
      <c r="A204" s="1" t="s">
        <v>211</v>
      </c>
      <c r="B204" s="1" t="s">
        <v>440</v>
      </c>
      <c r="C204" s="7" t="n">
        <v>0</v>
      </c>
      <c r="D204" s="7" t="n">
        <v>0</v>
      </c>
      <c r="E204" s="7" t="s">
        <v>33</v>
      </c>
      <c r="F204" s="7" t="s">
        <v>33</v>
      </c>
      <c r="G204" s="7" t="n">
        <v>15</v>
      </c>
      <c r="H204" s="7" t="n">
        <v>145</v>
      </c>
    </row>
    <row r="205" customFormat="false" ht="15" hidden="false" customHeight="false" outlineLevel="0" collapsed="false">
      <c r="A205" s="1" t="s">
        <v>211</v>
      </c>
      <c r="B205" s="1" t="s">
        <v>441</v>
      </c>
      <c r="C205" s="7" t="n">
        <v>0</v>
      </c>
      <c r="D205" s="7" t="s">
        <v>33</v>
      </c>
      <c r="E205" s="7" t="n">
        <v>5</v>
      </c>
      <c r="F205" s="7" t="s">
        <v>33</v>
      </c>
      <c r="G205" s="7" t="s">
        <v>33</v>
      </c>
      <c r="H205" s="7" t="n">
        <v>10</v>
      </c>
    </row>
    <row r="206" customFormat="false" ht="15" hidden="false" customHeight="false" outlineLevel="0" collapsed="false">
      <c r="A206" s="1" t="s">
        <v>211</v>
      </c>
      <c r="B206" s="1" t="s">
        <v>442</v>
      </c>
      <c r="C206" s="7" t="n">
        <v>0</v>
      </c>
      <c r="D206" s="7" t="n">
        <v>0</v>
      </c>
      <c r="E206" s="7" t="n">
        <v>60</v>
      </c>
      <c r="F206" s="7" t="n">
        <v>35</v>
      </c>
      <c r="G206" s="7" t="n">
        <v>55</v>
      </c>
      <c r="H206" s="7" t="n">
        <v>50</v>
      </c>
    </row>
    <row r="207" customFormat="false" ht="15" hidden="false" customHeight="false" outlineLevel="0" collapsed="false">
      <c r="A207" s="1" t="s">
        <v>211</v>
      </c>
      <c r="B207" s="1" t="s">
        <v>443</v>
      </c>
      <c r="C207" s="7" t="n">
        <v>5</v>
      </c>
      <c r="D207" s="7" t="n">
        <v>10</v>
      </c>
      <c r="E207" s="7" t="n">
        <v>35</v>
      </c>
      <c r="F207" s="7" t="s">
        <v>33</v>
      </c>
      <c r="G207" s="7" t="n">
        <v>20</v>
      </c>
      <c r="H207" s="7" t="n">
        <v>20</v>
      </c>
    </row>
    <row r="208" customFormat="false" ht="15" hidden="false" customHeight="false" outlineLevel="0" collapsed="false">
      <c r="A208" s="1" t="s">
        <v>211</v>
      </c>
      <c r="B208" s="1" t="s">
        <v>444</v>
      </c>
      <c r="C208" s="7" t="s">
        <v>33</v>
      </c>
      <c r="D208" s="7" t="n">
        <v>5</v>
      </c>
      <c r="E208" s="7" t="s">
        <v>33</v>
      </c>
      <c r="F208" s="7" t="n">
        <v>0</v>
      </c>
      <c r="G208" s="7" t="n">
        <v>0</v>
      </c>
      <c r="H208" s="7" t="n">
        <v>10</v>
      </c>
    </row>
    <row r="209" customFormat="false" ht="15" hidden="false" customHeight="false" outlineLevel="0" collapsed="false">
      <c r="A209" s="1" t="s">
        <v>211</v>
      </c>
      <c r="B209" s="1" t="s">
        <v>445</v>
      </c>
      <c r="C209" s="7" t="n">
        <v>0</v>
      </c>
      <c r="D209" s="7" t="n">
        <v>0</v>
      </c>
      <c r="E209" s="7" t="n">
        <v>0</v>
      </c>
      <c r="F209" s="7" t="n">
        <v>0</v>
      </c>
      <c r="G209" s="7" t="s">
        <v>33</v>
      </c>
      <c r="H209" s="7" t="s">
        <v>33</v>
      </c>
    </row>
    <row r="210" customFormat="false" ht="15" hidden="false" customHeight="false" outlineLevel="0" collapsed="false">
      <c r="A210" s="1" t="s">
        <v>211</v>
      </c>
      <c r="B210" s="1" t="s">
        <v>446</v>
      </c>
      <c r="C210" s="7" t="n">
        <v>40</v>
      </c>
      <c r="D210" s="7" t="n">
        <v>55</v>
      </c>
      <c r="E210" s="7" t="n">
        <v>60</v>
      </c>
      <c r="F210" s="7" t="n">
        <v>10</v>
      </c>
      <c r="G210" s="7" t="n">
        <v>45</v>
      </c>
      <c r="H210" s="7" t="n">
        <v>65</v>
      </c>
    </row>
    <row r="211" customFormat="false" ht="15" hidden="false" customHeight="false" outlineLevel="0" collapsed="false">
      <c r="A211" s="1" t="s">
        <v>211</v>
      </c>
      <c r="B211" s="1" t="s">
        <v>447</v>
      </c>
      <c r="C211" s="7" t="n">
        <v>20</v>
      </c>
      <c r="D211" s="7" t="n">
        <v>0</v>
      </c>
      <c r="E211" s="7" t="n">
        <v>5</v>
      </c>
      <c r="F211" s="7" t="n">
        <v>0</v>
      </c>
      <c r="G211" s="7" t="n">
        <v>0</v>
      </c>
      <c r="H211" s="7" t="s">
        <v>35</v>
      </c>
    </row>
    <row r="212" customFormat="false" ht="15" hidden="false" customHeight="false" outlineLevel="0" collapsed="false">
      <c r="A212" s="1" t="s">
        <v>211</v>
      </c>
      <c r="B212" s="1" t="s">
        <v>448</v>
      </c>
      <c r="C212" s="7" t="n">
        <v>40</v>
      </c>
      <c r="D212" s="7" t="n">
        <v>70</v>
      </c>
      <c r="E212" s="7" t="n">
        <v>50</v>
      </c>
      <c r="F212" s="7" t="n">
        <v>35</v>
      </c>
      <c r="G212" s="7" t="n">
        <v>45</v>
      </c>
      <c r="H212" s="7" t="n">
        <v>25</v>
      </c>
    </row>
    <row r="213" customFormat="false" ht="15" hidden="false" customHeight="false" outlineLevel="0" collapsed="false">
      <c r="A213" s="1" t="s">
        <v>211</v>
      </c>
      <c r="B213" s="1" t="s">
        <v>449</v>
      </c>
      <c r="C213" s="7" t="s">
        <v>35</v>
      </c>
      <c r="D213" s="7" t="s">
        <v>35</v>
      </c>
      <c r="E213" s="7" t="s">
        <v>35</v>
      </c>
      <c r="F213" s="7" t="s">
        <v>35</v>
      </c>
      <c r="G213" s="7" t="n">
        <v>0</v>
      </c>
      <c r="H213" s="7" t="s">
        <v>33</v>
      </c>
    </row>
    <row r="214" customFormat="false" ht="15" hidden="false" customHeight="false" outlineLevel="0" collapsed="false">
      <c r="A214" s="1" t="s">
        <v>211</v>
      </c>
      <c r="B214" s="1" t="s">
        <v>450</v>
      </c>
      <c r="C214" s="7" t="n">
        <v>325</v>
      </c>
      <c r="D214" s="7" t="n">
        <v>180</v>
      </c>
      <c r="E214" s="7" t="n">
        <v>185</v>
      </c>
      <c r="F214" s="7" t="n">
        <v>175</v>
      </c>
      <c r="G214" s="7" t="n">
        <v>145</v>
      </c>
      <c r="H214" s="7" t="n">
        <v>70</v>
      </c>
    </row>
    <row r="215" customFormat="false" ht="15" hidden="false" customHeight="false" outlineLevel="0" collapsed="false">
      <c r="A215" s="1" t="s">
        <v>211</v>
      </c>
      <c r="B215" s="1" t="s">
        <v>451</v>
      </c>
      <c r="C215" s="7" t="s">
        <v>35</v>
      </c>
      <c r="D215" s="7" t="s">
        <v>35</v>
      </c>
      <c r="E215" s="7" t="s">
        <v>35</v>
      </c>
      <c r="F215" s="7" t="s">
        <v>33</v>
      </c>
      <c r="G215" s="7" t="n">
        <v>10</v>
      </c>
      <c r="H215" s="7" t="n">
        <v>25</v>
      </c>
    </row>
    <row r="216" customFormat="false" ht="15" hidden="false" customHeight="false" outlineLevel="0" collapsed="false">
      <c r="A216" s="1" t="s">
        <v>211</v>
      </c>
      <c r="B216" s="1" t="s">
        <v>452</v>
      </c>
      <c r="C216" s="7" t="s">
        <v>35</v>
      </c>
      <c r="D216" s="7" t="s">
        <v>35</v>
      </c>
      <c r="E216" s="7" t="s">
        <v>35</v>
      </c>
      <c r="F216" s="7" t="s">
        <v>35</v>
      </c>
      <c r="G216" s="7" t="n">
        <v>15</v>
      </c>
      <c r="H216" s="7" t="n">
        <v>0</v>
      </c>
    </row>
    <row r="217" customFormat="false" ht="15" hidden="false" customHeight="false" outlineLevel="0" collapsed="false">
      <c r="A217" s="1" t="s">
        <v>213</v>
      </c>
      <c r="B217" s="1" t="s">
        <v>453</v>
      </c>
      <c r="C217" s="7" t="n">
        <v>85</v>
      </c>
      <c r="D217" s="7" t="n">
        <v>45</v>
      </c>
      <c r="E217" s="7" t="n">
        <v>60</v>
      </c>
      <c r="F217" s="7" t="n">
        <v>55</v>
      </c>
      <c r="G217" s="7" t="n">
        <v>75</v>
      </c>
      <c r="H217" s="7" t="n">
        <v>0</v>
      </c>
    </row>
    <row r="218" customFormat="false" ht="15" hidden="false" customHeight="false" outlineLevel="0" collapsed="false">
      <c r="A218" s="1" t="s">
        <v>213</v>
      </c>
      <c r="B218" s="1" t="s">
        <v>454</v>
      </c>
      <c r="C218" s="7" t="n">
        <v>430</v>
      </c>
      <c r="D218" s="7" t="n">
        <v>260</v>
      </c>
      <c r="E218" s="7" t="n">
        <v>165</v>
      </c>
      <c r="F218" s="7" t="n">
        <v>110</v>
      </c>
      <c r="G218" s="7" t="n">
        <v>155</v>
      </c>
      <c r="H218" s="7" t="n">
        <v>45</v>
      </c>
    </row>
    <row r="219" customFormat="false" ht="15" hidden="false" customHeight="false" outlineLevel="0" collapsed="false">
      <c r="A219" s="1" t="s">
        <v>213</v>
      </c>
      <c r="B219" s="1" t="s">
        <v>455</v>
      </c>
      <c r="C219" s="7" t="n">
        <v>160</v>
      </c>
      <c r="D219" s="7" t="n">
        <v>175</v>
      </c>
      <c r="E219" s="7" t="n">
        <v>170</v>
      </c>
      <c r="F219" s="7" t="n">
        <v>140</v>
      </c>
      <c r="G219" s="7" t="n">
        <v>175</v>
      </c>
      <c r="H219" s="7" t="n">
        <v>50</v>
      </c>
    </row>
    <row r="220" customFormat="false" ht="15" hidden="false" customHeight="false" outlineLevel="0" collapsed="false">
      <c r="A220" s="1" t="s">
        <v>213</v>
      </c>
      <c r="B220" s="1" t="s">
        <v>359</v>
      </c>
      <c r="C220" s="7" t="n">
        <v>55</v>
      </c>
      <c r="D220" s="7" t="n">
        <v>60</v>
      </c>
      <c r="E220" s="7" t="n">
        <v>20</v>
      </c>
      <c r="F220" s="7" t="n">
        <v>25</v>
      </c>
      <c r="G220" s="7" t="n">
        <v>20</v>
      </c>
      <c r="H220" s="7" t="n">
        <v>20</v>
      </c>
    </row>
    <row r="221" customFormat="false" ht="15" hidden="false" customHeight="false" outlineLevel="0" collapsed="false">
      <c r="A221" s="1" t="s">
        <v>213</v>
      </c>
      <c r="B221" s="1" t="s">
        <v>456</v>
      </c>
      <c r="C221" s="7" t="n">
        <v>210</v>
      </c>
      <c r="D221" s="7" t="n">
        <v>160</v>
      </c>
      <c r="E221" s="7" t="n">
        <v>305</v>
      </c>
      <c r="F221" s="7" t="n">
        <v>160</v>
      </c>
      <c r="G221" s="7" t="n">
        <v>135</v>
      </c>
      <c r="H221" s="7" t="n">
        <v>5</v>
      </c>
    </row>
    <row r="222" customFormat="false" ht="15" hidden="false" customHeight="false" outlineLevel="0" collapsed="false">
      <c r="A222" s="1" t="s">
        <v>213</v>
      </c>
      <c r="B222" s="1" t="s">
        <v>364</v>
      </c>
      <c r="C222" s="7" t="n">
        <v>830</v>
      </c>
      <c r="D222" s="7" t="n">
        <v>535</v>
      </c>
      <c r="E222" s="7" t="n">
        <v>530</v>
      </c>
      <c r="F222" s="7" t="n">
        <v>380</v>
      </c>
      <c r="G222" s="7" t="n">
        <v>425</v>
      </c>
      <c r="H222" s="7" t="n">
        <v>300</v>
      </c>
    </row>
    <row r="223" customFormat="false" ht="15" hidden="false" customHeight="false" outlineLevel="0" collapsed="false">
      <c r="A223" s="1" t="s">
        <v>213</v>
      </c>
      <c r="B223" s="1" t="s">
        <v>294</v>
      </c>
      <c r="C223" s="7" t="n">
        <v>595</v>
      </c>
      <c r="D223" s="7" t="n">
        <v>460</v>
      </c>
      <c r="E223" s="7" t="n">
        <v>405</v>
      </c>
      <c r="F223" s="7" t="n">
        <v>335</v>
      </c>
      <c r="G223" s="7" t="n">
        <v>315</v>
      </c>
      <c r="H223" s="7" t="n">
        <v>185</v>
      </c>
    </row>
    <row r="224" customFormat="false" ht="15" hidden="false" customHeight="false" outlineLevel="0" collapsed="false">
      <c r="A224" s="1" t="s">
        <v>213</v>
      </c>
      <c r="B224" s="1" t="s">
        <v>457</v>
      </c>
      <c r="C224" s="7" t="s">
        <v>35</v>
      </c>
      <c r="D224" s="7" t="s">
        <v>35</v>
      </c>
      <c r="E224" s="7" t="s">
        <v>35</v>
      </c>
      <c r="F224" s="7" t="s">
        <v>35</v>
      </c>
      <c r="G224" s="7" t="s">
        <v>33</v>
      </c>
      <c r="H224" s="7" t="n">
        <v>0</v>
      </c>
    </row>
    <row r="225" customFormat="false" ht="15" hidden="false" customHeight="false" outlineLevel="0" collapsed="false">
      <c r="A225" s="1" t="s">
        <v>213</v>
      </c>
      <c r="B225" s="1" t="s">
        <v>458</v>
      </c>
      <c r="C225" s="7" t="n">
        <v>185</v>
      </c>
      <c r="D225" s="7" t="n">
        <v>190</v>
      </c>
      <c r="E225" s="7" t="n">
        <v>175</v>
      </c>
      <c r="F225" s="7" t="n">
        <v>190</v>
      </c>
      <c r="G225" s="7" t="n">
        <v>120</v>
      </c>
      <c r="H225" s="7" t="n">
        <v>45</v>
      </c>
    </row>
    <row r="226" customFormat="false" ht="15" hidden="false" customHeight="false" outlineLevel="0" collapsed="false">
      <c r="A226" s="1" t="s">
        <v>213</v>
      </c>
      <c r="B226" s="1" t="s">
        <v>380</v>
      </c>
      <c r="C226" s="7" t="n">
        <v>790</v>
      </c>
      <c r="D226" s="7" t="n">
        <v>360</v>
      </c>
      <c r="E226" s="7" t="n">
        <v>160</v>
      </c>
      <c r="F226" s="7" t="n">
        <v>105</v>
      </c>
      <c r="G226" s="7" t="n">
        <v>0</v>
      </c>
      <c r="H226" s="7" t="s">
        <v>35</v>
      </c>
    </row>
    <row r="227" customFormat="false" ht="15" hidden="false" customHeight="false" outlineLevel="0" collapsed="false">
      <c r="A227" s="1" t="s">
        <v>213</v>
      </c>
      <c r="B227" s="1" t="s">
        <v>299</v>
      </c>
      <c r="C227" s="7" t="n">
        <v>285</v>
      </c>
      <c r="D227" s="7" t="n">
        <v>255</v>
      </c>
      <c r="E227" s="7" t="n">
        <v>115</v>
      </c>
      <c r="F227" s="7" t="n">
        <v>105</v>
      </c>
      <c r="G227" s="7" t="n">
        <v>100</v>
      </c>
      <c r="H227" s="7" t="s">
        <v>35</v>
      </c>
    </row>
    <row r="228" customFormat="false" ht="15" hidden="false" customHeight="false" outlineLevel="0" collapsed="false">
      <c r="A228" s="1" t="s">
        <v>213</v>
      </c>
      <c r="B228" s="1" t="s">
        <v>300</v>
      </c>
      <c r="C228" s="7" t="n">
        <v>540</v>
      </c>
      <c r="D228" s="7" t="n">
        <v>390</v>
      </c>
      <c r="E228" s="7" t="n">
        <v>390</v>
      </c>
      <c r="F228" s="7" t="n">
        <v>290</v>
      </c>
      <c r="G228" s="7" t="n">
        <v>270</v>
      </c>
      <c r="H228" s="7" t="n">
        <v>165</v>
      </c>
    </row>
    <row r="229" customFormat="false" ht="15" hidden="false" customHeight="false" outlineLevel="0" collapsed="false">
      <c r="A229" s="1" t="s">
        <v>213</v>
      </c>
      <c r="B229" s="1" t="s">
        <v>301</v>
      </c>
      <c r="C229" s="7" t="n">
        <v>135</v>
      </c>
      <c r="D229" s="7" t="n">
        <v>50</v>
      </c>
      <c r="E229" s="7" t="n">
        <v>45</v>
      </c>
      <c r="F229" s="7" t="n">
        <v>50</v>
      </c>
      <c r="G229" s="7" t="n">
        <v>0</v>
      </c>
      <c r="H229" s="7" t="s">
        <v>35</v>
      </c>
    </row>
    <row r="230" customFormat="false" ht="15" hidden="false" customHeight="false" outlineLevel="0" collapsed="false">
      <c r="A230" s="1" t="s">
        <v>213</v>
      </c>
      <c r="B230" s="1" t="s">
        <v>302</v>
      </c>
      <c r="C230" s="7" t="n">
        <v>30</v>
      </c>
      <c r="D230" s="7" t="n">
        <v>0</v>
      </c>
      <c r="E230" s="7" t="s">
        <v>35</v>
      </c>
      <c r="F230" s="7" t="s">
        <v>35</v>
      </c>
      <c r="G230" s="7" t="s">
        <v>35</v>
      </c>
      <c r="H230" s="7" t="s">
        <v>35</v>
      </c>
    </row>
    <row r="231" customFormat="false" ht="15" hidden="false" customHeight="false" outlineLevel="0" collapsed="false">
      <c r="A231" s="1" t="s">
        <v>213</v>
      </c>
      <c r="B231" s="1" t="s">
        <v>303</v>
      </c>
      <c r="C231" s="7" t="n">
        <v>45</v>
      </c>
      <c r="D231" s="7" t="n">
        <v>50</v>
      </c>
      <c r="E231" s="7" t="n">
        <v>35</v>
      </c>
      <c r="F231" s="7" t="s">
        <v>33</v>
      </c>
      <c r="G231" s="7" t="n">
        <v>0</v>
      </c>
      <c r="H231" s="7" t="s">
        <v>35</v>
      </c>
    </row>
    <row r="232" customFormat="false" ht="15" hidden="false" customHeight="false" outlineLevel="0" collapsed="false">
      <c r="A232" s="1" t="s">
        <v>213</v>
      </c>
      <c r="B232" s="1" t="s">
        <v>459</v>
      </c>
      <c r="C232" s="7" t="s">
        <v>35</v>
      </c>
      <c r="D232" s="7" t="n">
        <v>25</v>
      </c>
      <c r="E232" s="7" t="s">
        <v>33</v>
      </c>
      <c r="F232" s="7" t="n">
        <v>25</v>
      </c>
      <c r="G232" s="7" t="n">
        <v>35</v>
      </c>
      <c r="H232" s="7" t="n">
        <v>25</v>
      </c>
    </row>
    <row r="233" customFormat="false" ht="15" hidden="false" customHeight="false" outlineLevel="0" collapsed="false">
      <c r="A233" s="1" t="s">
        <v>213</v>
      </c>
      <c r="B233" s="1" t="s">
        <v>305</v>
      </c>
      <c r="C233" s="7" t="s">
        <v>33</v>
      </c>
      <c r="D233" s="7" t="n">
        <v>15</v>
      </c>
      <c r="E233" s="7" t="n">
        <v>0</v>
      </c>
      <c r="F233" s="7" t="n">
        <v>15</v>
      </c>
      <c r="G233" s="7" t="n">
        <v>10</v>
      </c>
      <c r="H233" s="7" t="n">
        <v>20</v>
      </c>
    </row>
    <row r="234" customFormat="false" ht="15" hidden="false" customHeight="false" outlineLevel="0" collapsed="false">
      <c r="A234" s="1" t="s">
        <v>213</v>
      </c>
      <c r="B234" s="1" t="s">
        <v>460</v>
      </c>
      <c r="C234" s="7" t="n">
        <v>145</v>
      </c>
      <c r="D234" s="7" t="n">
        <v>40</v>
      </c>
      <c r="E234" s="7" t="n">
        <v>35</v>
      </c>
      <c r="F234" s="7" t="n">
        <v>35</v>
      </c>
      <c r="G234" s="7" t="n">
        <v>60</v>
      </c>
      <c r="H234" s="7" t="n">
        <v>25</v>
      </c>
    </row>
    <row r="235" customFormat="false" ht="15" hidden="false" customHeight="false" outlineLevel="0" collapsed="false">
      <c r="A235" s="1" t="s">
        <v>213</v>
      </c>
      <c r="B235" s="1" t="s">
        <v>284</v>
      </c>
      <c r="C235" s="7" t="n">
        <v>190</v>
      </c>
      <c r="D235" s="7" t="n">
        <v>5</v>
      </c>
      <c r="E235" s="7" t="s">
        <v>35</v>
      </c>
      <c r="F235" s="7" t="s">
        <v>35</v>
      </c>
      <c r="G235" s="7" t="s">
        <v>35</v>
      </c>
      <c r="H235" s="7" t="s">
        <v>35</v>
      </c>
    </row>
    <row r="236" customFormat="false" ht="15" hidden="false" customHeight="false" outlineLevel="0" collapsed="false">
      <c r="A236" s="1" t="s">
        <v>213</v>
      </c>
      <c r="B236" s="1" t="s">
        <v>306</v>
      </c>
      <c r="C236" s="7" t="n">
        <v>75</v>
      </c>
      <c r="D236" s="7" t="n">
        <v>0</v>
      </c>
      <c r="E236" s="7" t="s">
        <v>35</v>
      </c>
      <c r="F236" s="7" t="s">
        <v>35</v>
      </c>
      <c r="G236" s="7" t="s">
        <v>35</v>
      </c>
      <c r="H236" s="7" t="s">
        <v>35</v>
      </c>
    </row>
    <row r="237" customFormat="false" ht="15" hidden="false" customHeight="false" outlineLevel="0" collapsed="false">
      <c r="A237" s="1" t="s">
        <v>213</v>
      </c>
      <c r="B237" s="1" t="s">
        <v>307</v>
      </c>
      <c r="C237" s="7" t="n">
        <v>135</v>
      </c>
      <c r="D237" s="7" t="n">
        <v>100</v>
      </c>
      <c r="E237" s="7" t="n">
        <v>80</v>
      </c>
      <c r="F237" s="7" t="n">
        <v>55</v>
      </c>
      <c r="G237" s="7" t="n">
        <v>35</v>
      </c>
      <c r="H237" s="7" t="n">
        <v>20</v>
      </c>
    </row>
    <row r="238" customFormat="false" ht="15" hidden="false" customHeight="false" outlineLevel="0" collapsed="false">
      <c r="A238" s="1" t="s">
        <v>213</v>
      </c>
      <c r="B238" s="1" t="s">
        <v>461</v>
      </c>
      <c r="C238" s="7" t="n">
        <v>1295</v>
      </c>
      <c r="D238" s="7" t="n">
        <v>895</v>
      </c>
      <c r="E238" s="7" t="n">
        <v>855</v>
      </c>
      <c r="F238" s="7" t="n">
        <v>685</v>
      </c>
      <c r="G238" s="7" t="n">
        <v>630</v>
      </c>
      <c r="H238" s="7" t="n">
        <v>315</v>
      </c>
    </row>
    <row r="239" customFormat="false" ht="15" hidden="false" customHeight="false" outlineLevel="0" collapsed="false">
      <c r="A239" s="1" t="s">
        <v>213</v>
      </c>
      <c r="B239" s="1" t="s">
        <v>387</v>
      </c>
      <c r="C239" s="7" t="n">
        <v>175</v>
      </c>
      <c r="D239" s="7" t="n">
        <v>135</v>
      </c>
      <c r="E239" s="7" t="n">
        <v>90</v>
      </c>
      <c r="F239" s="7" t="n">
        <v>95</v>
      </c>
      <c r="G239" s="7" t="n">
        <v>45</v>
      </c>
      <c r="H239" s="7" t="n">
        <v>25</v>
      </c>
    </row>
    <row r="240" customFormat="false" ht="15" hidden="false" customHeight="false" outlineLevel="0" collapsed="false">
      <c r="A240" s="1" t="s">
        <v>213</v>
      </c>
      <c r="B240" s="1" t="s">
        <v>233</v>
      </c>
      <c r="C240" s="7" t="n">
        <v>25</v>
      </c>
      <c r="D240" s="7" t="n">
        <v>5</v>
      </c>
      <c r="E240" s="7" t="n">
        <v>25</v>
      </c>
      <c r="F240" s="7" t="s">
        <v>33</v>
      </c>
      <c r="G240" s="7" t="n">
        <v>10</v>
      </c>
      <c r="H240" s="7" t="n">
        <v>15</v>
      </c>
    </row>
    <row r="241" customFormat="false" ht="15" hidden="false" customHeight="false" outlineLevel="0" collapsed="false">
      <c r="A241" s="1" t="s">
        <v>213</v>
      </c>
      <c r="B241" s="1" t="s">
        <v>462</v>
      </c>
      <c r="C241" s="7" t="n">
        <v>25</v>
      </c>
      <c r="D241" s="7" t="n">
        <v>15</v>
      </c>
      <c r="E241" s="7" t="n">
        <v>10</v>
      </c>
      <c r="F241" s="7" t="n">
        <v>15</v>
      </c>
      <c r="G241" s="7" t="n">
        <v>15</v>
      </c>
      <c r="H241" s="7" t="n">
        <v>0</v>
      </c>
    </row>
    <row r="242" customFormat="false" ht="15" hidden="false" customHeight="false" outlineLevel="0" collapsed="false">
      <c r="A242" s="1" t="s">
        <v>213</v>
      </c>
      <c r="B242" s="1" t="s">
        <v>463</v>
      </c>
      <c r="C242" s="7" t="n">
        <v>0</v>
      </c>
      <c r="D242" s="7" t="s">
        <v>33</v>
      </c>
      <c r="E242" s="7" t="s">
        <v>33</v>
      </c>
      <c r="F242" s="7" t="n">
        <v>45</v>
      </c>
      <c r="G242" s="7" t="n">
        <v>15</v>
      </c>
      <c r="H242" s="7" t="n">
        <v>45</v>
      </c>
    </row>
    <row r="243" customFormat="false" ht="15" hidden="false" customHeight="false" outlineLevel="0" collapsed="false">
      <c r="A243" s="1" t="s">
        <v>213</v>
      </c>
      <c r="B243" s="1" t="s">
        <v>464</v>
      </c>
      <c r="C243" s="7" t="n">
        <v>50</v>
      </c>
      <c r="D243" s="7" t="n">
        <v>50</v>
      </c>
      <c r="E243" s="7" t="n">
        <v>40</v>
      </c>
      <c r="F243" s="7" t="n">
        <v>50</v>
      </c>
      <c r="G243" s="7" t="n">
        <v>115</v>
      </c>
      <c r="H243" s="7" t="n">
        <v>130</v>
      </c>
    </row>
    <row r="244" customFormat="false" ht="15" hidden="false" customHeight="false" outlineLevel="0" collapsed="false">
      <c r="A244" s="1" t="s">
        <v>213</v>
      </c>
      <c r="B244" s="1" t="s">
        <v>308</v>
      </c>
      <c r="C244" s="7" t="n">
        <v>40</v>
      </c>
      <c r="D244" s="7" t="n">
        <v>35</v>
      </c>
      <c r="E244" s="7" t="n">
        <v>25</v>
      </c>
      <c r="F244" s="7" t="n">
        <v>10</v>
      </c>
      <c r="G244" s="7" t="n">
        <v>25</v>
      </c>
      <c r="H244" s="7" t="n">
        <v>35</v>
      </c>
    </row>
    <row r="245" customFormat="false" ht="15" hidden="false" customHeight="false" outlineLevel="0" collapsed="false">
      <c r="A245" s="1" t="s">
        <v>213</v>
      </c>
      <c r="B245" s="1" t="s">
        <v>225</v>
      </c>
      <c r="C245" s="7" t="n">
        <v>60</v>
      </c>
      <c r="D245" s="7" t="n">
        <v>40</v>
      </c>
      <c r="E245" s="7" t="n">
        <v>10</v>
      </c>
      <c r="F245" s="7" t="n">
        <v>5</v>
      </c>
      <c r="G245" s="7" t="n">
        <v>0</v>
      </c>
      <c r="H245" s="7" t="s">
        <v>35</v>
      </c>
    </row>
    <row r="246" customFormat="false" ht="15" hidden="false" customHeight="false" outlineLevel="0" collapsed="false">
      <c r="A246" s="1" t="s">
        <v>213</v>
      </c>
      <c r="B246" s="1" t="s">
        <v>465</v>
      </c>
      <c r="C246" s="7" t="n">
        <v>300</v>
      </c>
      <c r="D246" s="7" t="n">
        <v>110</v>
      </c>
      <c r="E246" s="7" t="n">
        <v>80</v>
      </c>
      <c r="F246" s="7" t="n">
        <v>70</v>
      </c>
      <c r="G246" s="7" t="n">
        <v>55</v>
      </c>
      <c r="H246" s="7" t="n">
        <v>20</v>
      </c>
    </row>
    <row r="247" customFormat="false" ht="15" hidden="false" customHeight="false" outlineLevel="0" collapsed="false">
      <c r="A247" s="1" t="s">
        <v>213</v>
      </c>
      <c r="B247" s="1" t="s">
        <v>234</v>
      </c>
      <c r="C247" s="7" t="n">
        <v>15</v>
      </c>
      <c r="D247" s="7" t="n">
        <v>45</v>
      </c>
      <c r="E247" s="7" t="n">
        <v>10</v>
      </c>
      <c r="F247" s="7" t="s">
        <v>33</v>
      </c>
      <c r="G247" s="7" t="n">
        <v>15</v>
      </c>
      <c r="H247" s="7" t="s">
        <v>33</v>
      </c>
    </row>
    <row r="248" customFormat="false" ht="15" hidden="false" customHeight="false" outlineLevel="0" collapsed="false">
      <c r="A248" s="1" t="s">
        <v>213</v>
      </c>
      <c r="B248" s="1" t="s">
        <v>466</v>
      </c>
      <c r="C248" s="7" t="n">
        <v>185</v>
      </c>
      <c r="D248" s="7" t="n">
        <v>150</v>
      </c>
      <c r="E248" s="7" t="n">
        <v>120</v>
      </c>
      <c r="F248" s="7" t="n">
        <v>80</v>
      </c>
      <c r="G248" s="7" t="n">
        <v>50</v>
      </c>
      <c r="H248" s="7" t="n">
        <v>60</v>
      </c>
    </row>
    <row r="249" customFormat="false" ht="15" hidden="false" customHeight="false" outlineLevel="0" collapsed="false">
      <c r="A249" s="1" t="s">
        <v>213</v>
      </c>
      <c r="B249" s="1" t="s">
        <v>467</v>
      </c>
      <c r="C249" s="7" t="s">
        <v>33</v>
      </c>
      <c r="D249" s="7" t="n">
        <v>0</v>
      </c>
      <c r="E249" s="7" t="n">
        <v>0</v>
      </c>
      <c r="F249" s="7" t="n">
        <v>0</v>
      </c>
      <c r="G249" s="7" t="n">
        <v>0</v>
      </c>
      <c r="H249" s="7" t="n">
        <v>0</v>
      </c>
    </row>
    <row r="250" customFormat="false" ht="15" hidden="false" customHeight="false" outlineLevel="0" collapsed="false">
      <c r="A250" s="1" t="s">
        <v>213</v>
      </c>
      <c r="B250" s="1" t="s">
        <v>468</v>
      </c>
      <c r="C250" s="7" t="n">
        <v>45</v>
      </c>
      <c r="D250" s="7" t="n">
        <v>10</v>
      </c>
      <c r="E250" s="7" t="n">
        <v>15</v>
      </c>
      <c r="F250" s="7" t="n">
        <v>15</v>
      </c>
      <c r="G250" s="7" t="n">
        <v>20</v>
      </c>
      <c r="H250" s="7" t="n">
        <v>10</v>
      </c>
    </row>
    <row r="251" customFormat="false" ht="15" hidden="false" customHeight="false" outlineLevel="0" collapsed="false">
      <c r="A251" s="1" t="s">
        <v>213</v>
      </c>
      <c r="B251" s="1" t="s">
        <v>469</v>
      </c>
      <c r="C251" s="7" t="n">
        <v>230</v>
      </c>
      <c r="D251" s="7" t="n">
        <v>160</v>
      </c>
      <c r="E251" s="7" t="n">
        <v>175</v>
      </c>
      <c r="F251" s="7" t="n">
        <v>100</v>
      </c>
      <c r="G251" s="7" t="n">
        <v>50</v>
      </c>
      <c r="H251" s="7" t="n">
        <v>30</v>
      </c>
    </row>
    <row r="252" customFormat="false" ht="15" hidden="false" customHeight="false" outlineLevel="0" collapsed="false">
      <c r="A252" s="1" t="s">
        <v>213</v>
      </c>
      <c r="B252" s="1" t="s">
        <v>470</v>
      </c>
      <c r="C252" s="7" t="n">
        <v>15</v>
      </c>
      <c r="D252" s="7" t="n">
        <v>50</v>
      </c>
      <c r="E252" s="7" t="n">
        <v>10</v>
      </c>
      <c r="F252" s="7" t="s">
        <v>33</v>
      </c>
      <c r="G252" s="7" t="n">
        <v>5</v>
      </c>
      <c r="H252" s="7" t="n">
        <v>0</v>
      </c>
    </row>
    <row r="253" customFormat="false" ht="15" hidden="false" customHeight="false" outlineLevel="0" collapsed="false">
      <c r="A253" s="1" t="s">
        <v>213</v>
      </c>
      <c r="B253" s="1" t="s">
        <v>471</v>
      </c>
      <c r="C253" s="7" t="n">
        <v>170</v>
      </c>
      <c r="D253" s="7" t="n">
        <v>120</v>
      </c>
      <c r="E253" s="7" t="n">
        <v>90</v>
      </c>
      <c r="F253" s="7" t="n">
        <v>160</v>
      </c>
      <c r="G253" s="7" t="n">
        <v>175</v>
      </c>
      <c r="H253" s="7" t="n">
        <v>130</v>
      </c>
    </row>
    <row r="254" customFormat="false" ht="15" hidden="false" customHeight="false" outlineLevel="0" collapsed="false">
      <c r="A254" s="1" t="s">
        <v>213</v>
      </c>
      <c r="B254" s="1" t="s">
        <v>472</v>
      </c>
      <c r="C254" s="7" t="n">
        <v>15</v>
      </c>
      <c r="D254" s="7" t="n">
        <v>5</v>
      </c>
      <c r="E254" s="7" t="n">
        <v>20</v>
      </c>
      <c r="F254" s="7" t="n">
        <v>20</v>
      </c>
      <c r="G254" s="7" t="n">
        <v>15</v>
      </c>
      <c r="H254" s="7" t="n">
        <v>20</v>
      </c>
    </row>
    <row r="255" customFormat="false" ht="15" hidden="false" customHeight="false" outlineLevel="0" collapsed="false">
      <c r="A255" s="1" t="s">
        <v>213</v>
      </c>
      <c r="B255" s="1" t="s">
        <v>473</v>
      </c>
      <c r="C255" s="7" t="n">
        <v>10</v>
      </c>
      <c r="D255" s="7" t="n">
        <v>15</v>
      </c>
      <c r="E255" s="7" t="n">
        <v>30</v>
      </c>
      <c r="F255" s="7" t="n">
        <v>0</v>
      </c>
      <c r="G255" s="7" t="n">
        <v>10</v>
      </c>
      <c r="H255" s="7" t="n">
        <v>15</v>
      </c>
    </row>
    <row r="256" customFormat="false" ht="15" hidden="false" customHeight="false" outlineLevel="0" collapsed="false">
      <c r="A256" s="1" t="s">
        <v>213</v>
      </c>
      <c r="B256" s="1" t="s">
        <v>312</v>
      </c>
      <c r="C256" s="7" t="n">
        <v>370</v>
      </c>
      <c r="D256" s="7" t="n">
        <v>355</v>
      </c>
      <c r="E256" s="7" t="n">
        <v>310</v>
      </c>
      <c r="F256" s="7" t="n">
        <v>385</v>
      </c>
      <c r="G256" s="7" t="n">
        <v>380</v>
      </c>
      <c r="H256" s="7" t="n">
        <v>365</v>
      </c>
    </row>
    <row r="257" customFormat="false" ht="15" hidden="false" customHeight="false" outlineLevel="0" collapsed="false">
      <c r="A257" s="1" t="s">
        <v>213</v>
      </c>
      <c r="B257" s="1" t="s">
        <v>474</v>
      </c>
      <c r="C257" s="7" t="n">
        <v>0</v>
      </c>
      <c r="D257" s="7" t="s">
        <v>33</v>
      </c>
      <c r="E257" s="7" t="n">
        <v>0</v>
      </c>
      <c r="F257" s="7" t="n">
        <v>0</v>
      </c>
      <c r="G257" s="7" t="s">
        <v>35</v>
      </c>
      <c r="H257" s="7" t="s">
        <v>35</v>
      </c>
    </row>
    <row r="258" customFormat="false" ht="15" hidden="false" customHeight="false" outlineLevel="0" collapsed="false">
      <c r="A258" s="1" t="s">
        <v>213</v>
      </c>
      <c r="B258" s="1" t="s">
        <v>475</v>
      </c>
      <c r="C258" s="7" t="n">
        <v>160</v>
      </c>
      <c r="D258" s="7" t="n">
        <v>175</v>
      </c>
      <c r="E258" s="7" t="n">
        <v>205</v>
      </c>
      <c r="F258" s="7" t="n">
        <v>150</v>
      </c>
      <c r="G258" s="7" t="n">
        <v>120</v>
      </c>
      <c r="H258" s="7" t="n">
        <v>85</v>
      </c>
    </row>
    <row r="259" customFormat="false" ht="15" hidden="false" customHeight="false" outlineLevel="0" collapsed="false">
      <c r="A259" s="1" t="s">
        <v>213</v>
      </c>
      <c r="B259" s="1" t="s">
        <v>476</v>
      </c>
      <c r="C259" s="7" t="n">
        <v>45</v>
      </c>
      <c r="D259" s="7" t="n">
        <v>30</v>
      </c>
      <c r="E259" s="7" t="n">
        <v>50</v>
      </c>
      <c r="F259" s="7" t="n">
        <v>125</v>
      </c>
      <c r="G259" s="7" t="n">
        <v>60</v>
      </c>
      <c r="H259" s="7" t="n">
        <v>70</v>
      </c>
    </row>
    <row r="260" customFormat="false" ht="15" hidden="false" customHeight="false" outlineLevel="0" collapsed="false">
      <c r="A260" s="1" t="s">
        <v>213</v>
      </c>
      <c r="B260" s="1" t="s">
        <v>285</v>
      </c>
      <c r="C260" s="7" t="n">
        <v>20</v>
      </c>
      <c r="D260" s="7" t="s">
        <v>33</v>
      </c>
      <c r="E260" s="7" t="s">
        <v>33</v>
      </c>
      <c r="F260" s="7" t="n">
        <v>0</v>
      </c>
      <c r="G260" s="7" t="n">
        <v>0</v>
      </c>
      <c r="H260" s="7" t="s">
        <v>35</v>
      </c>
    </row>
    <row r="261" customFormat="false" ht="15" hidden="false" customHeight="false" outlineLevel="0" collapsed="false">
      <c r="A261" s="1" t="s">
        <v>213</v>
      </c>
      <c r="B261" s="1" t="s">
        <v>477</v>
      </c>
      <c r="C261" s="7" t="n">
        <v>155</v>
      </c>
      <c r="D261" s="7" t="n">
        <v>85</v>
      </c>
      <c r="E261" s="7" t="n">
        <v>45</v>
      </c>
      <c r="F261" s="7" t="n">
        <v>85</v>
      </c>
      <c r="G261" s="7" t="n">
        <v>60</v>
      </c>
      <c r="H261" s="7" t="n">
        <v>50</v>
      </c>
    </row>
    <row r="262" customFormat="false" ht="15" hidden="false" customHeight="false" outlineLevel="0" collapsed="false">
      <c r="A262" s="1" t="s">
        <v>213</v>
      </c>
      <c r="B262" s="1" t="s">
        <v>164</v>
      </c>
      <c r="C262" s="7" t="n">
        <v>250</v>
      </c>
      <c r="D262" s="7" t="n">
        <v>165</v>
      </c>
      <c r="E262" s="7" t="n">
        <v>30</v>
      </c>
      <c r="F262" s="7" t="n">
        <v>25</v>
      </c>
      <c r="G262" s="7" t="n">
        <v>0</v>
      </c>
      <c r="H262" s="7" t="s">
        <v>35</v>
      </c>
    </row>
    <row r="263" customFormat="false" ht="15" hidden="false" customHeight="false" outlineLevel="0" collapsed="false">
      <c r="A263" s="1" t="s">
        <v>213</v>
      </c>
      <c r="B263" s="1" t="s">
        <v>478</v>
      </c>
      <c r="C263" s="7" t="s">
        <v>33</v>
      </c>
      <c r="D263" s="7" t="n">
        <v>0</v>
      </c>
      <c r="E263" s="7" t="n">
        <v>0</v>
      </c>
      <c r="F263" s="7" t="s">
        <v>35</v>
      </c>
      <c r="G263" s="7" t="s">
        <v>35</v>
      </c>
      <c r="H263" s="7" t="s">
        <v>35</v>
      </c>
    </row>
    <row r="264" customFormat="false" ht="15" hidden="false" customHeight="false" outlineLevel="0" collapsed="false">
      <c r="A264" s="1" t="s">
        <v>213</v>
      </c>
      <c r="B264" s="1" t="s">
        <v>479</v>
      </c>
      <c r="C264" s="7" t="n">
        <v>240</v>
      </c>
      <c r="D264" s="7" t="n">
        <v>290</v>
      </c>
      <c r="E264" s="7" t="n">
        <v>200</v>
      </c>
      <c r="F264" s="7" t="n">
        <v>180</v>
      </c>
      <c r="G264" s="7" t="n">
        <v>115</v>
      </c>
      <c r="H264" s="7" t="n">
        <v>30</v>
      </c>
    </row>
    <row r="265" customFormat="false" ht="15" hidden="false" customHeight="false" outlineLevel="0" collapsed="false">
      <c r="A265" s="1" t="s">
        <v>213</v>
      </c>
      <c r="B265" s="1" t="s">
        <v>279</v>
      </c>
      <c r="C265" s="7" t="n">
        <v>45</v>
      </c>
      <c r="D265" s="7" t="n">
        <v>20</v>
      </c>
      <c r="E265" s="7" t="n">
        <v>15</v>
      </c>
      <c r="F265" s="7" t="n">
        <v>15</v>
      </c>
      <c r="G265" s="7" t="n">
        <v>25</v>
      </c>
      <c r="H265" s="7" t="n">
        <v>35</v>
      </c>
    </row>
    <row r="266" customFormat="false" ht="15" hidden="false" customHeight="false" outlineLevel="0" collapsed="false">
      <c r="A266" s="1" t="s">
        <v>213</v>
      </c>
      <c r="B266" s="1" t="s">
        <v>280</v>
      </c>
      <c r="C266" s="7" t="n">
        <v>10</v>
      </c>
      <c r="D266" s="7" t="n">
        <v>10</v>
      </c>
      <c r="E266" s="7" t="n">
        <v>10</v>
      </c>
      <c r="F266" s="7" t="n">
        <v>10</v>
      </c>
      <c r="G266" s="7" t="n">
        <v>15</v>
      </c>
      <c r="H266" s="7" t="n">
        <v>30</v>
      </c>
    </row>
    <row r="267" customFormat="false" ht="15" hidden="false" customHeight="false" outlineLevel="0" collapsed="false">
      <c r="A267" s="1" t="s">
        <v>213</v>
      </c>
      <c r="B267" s="1" t="s">
        <v>480</v>
      </c>
      <c r="C267" s="7" t="n">
        <v>275</v>
      </c>
      <c r="D267" s="7" t="n">
        <v>285</v>
      </c>
      <c r="E267" s="7" t="n">
        <v>380</v>
      </c>
      <c r="F267" s="7" t="n">
        <v>305</v>
      </c>
      <c r="G267" s="7" t="n">
        <v>365</v>
      </c>
      <c r="H267" s="7" t="n">
        <v>130</v>
      </c>
    </row>
    <row r="268" customFormat="false" ht="15" hidden="false" customHeight="false" outlineLevel="0" collapsed="false">
      <c r="A268" s="1" t="s">
        <v>213</v>
      </c>
      <c r="B268" s="1" t="s">
        <v>481</v>
      </c>
      <c r="C268" s="7" t="n">
        <v>565</v>
      </c>
      <c r="D268" s="7" t="n">
        <v>400</v>
      </c>
      <c r="E268" s="7" t="n">
        <v>515</v>
      </c>
      <c r="F268" s="7" t="n">
        <v>525</v>
      </c>
      <c r="G268" s="7" t="n">
        <v>675</v>
      </c>
      <c r="H268" s="7" t="n">
        <v>245</v>
      </c>
    </row>
    <row r="269" customFormat="false" ht="15" hidden="false" customHeight="false" outlineLevel="0" collapsed="false">
      <c r="A269" s="1" t="s">
        <v>213</v>
      </c>
      <c r="B269" s="1" t="s">
        <v>317</v>
      </c>
      <c r="C269" s="7" t="n">
        <v>230</v>
      </c>
      <c r="D269" s="7" t="n">
        <v>180</v>
      </c>
      <c r="E269" s="7" t="n">
        <v>145</v>
      </c>
      <c r="F269" s="7" t="n">
        <v>150</v>
      </c>
      <c r="G269" s="7" t="n">
        <v>105</v>
      </c>
      <c r="H269" s="7" t="n">
        <v>105</v>
      </c>
    </row>
    <row r="270" customFormat="false" ht="15" hidden="false" customHeight="false" outlineLevel="0" collapsed="false">
      <c r="A270" s="1" t="s">
        <v>213</v>
      </c>
      <c r="B270" s="1" t="s">
        <v>482</v>
      </c>
      <c r="C270" s="7" t="s">
        <v>33</v>
      </c>
      <c r="D270" s="7" t="n">
        <v>10</v>
      </c>
      <c r="E270" s="7" t="s">
        <v>33</v>
      </c>
      <c r="F270" s="7" t="s">
        <v>33</v>
      </c>
      <c r="G270" s="7" t="s">
        <v>33</v>
      </c>
      <c r="H270" s="7" t="n">
        <v>30</v>
      </c>
    </row>
    <row r="271" customFormat="false" ht="15" hidden="false" customHeight="false" outlineLevel="0" collapsed="false">
      <c r="A271" s="1" t="s">
        <v>213</v>
      </c>
      <c r="B271" s="1" t="s">
        <v>483</v>
      </c>
      <c r="C271" s="7" t="n">
        <v>95</v>
      </c>
      <c r="D271" s="7" t="n">
        <v>65</v>
      </c>
      <c r="E271" s="7" t="n">
        <v>40</v>
      </c>
      <c r="F271" s="7" t="n">
        <v>75</v>
      </c>
      <c r="G271" s="7" t="n">
        <v>50</v>
      </c>
      <c r="H271" s="7" t="n">
        <v>45</v>
      </c>
    </row>
    <row r="272" customFormat="false" ht="15" hidden="false" customHeight="false" outlineLevel="0" collapsed="false">
      <c r="A272" s="1" t="s">
        <v>213</v>
      </c>
      <c r="B272" s="1" t="s">
        <v>484</v>
      </c>
      <c r="C272" s="7" t="n">
        <v>0</v>
      </c>
      <c r="D272" s="7" t="n">
        <v>0</v>
      </c>
      <c r="E272" s="7" t="s">
        <v>33</v>
      </c>
      <c r="F272" s="7" t="n">
        <v>0</v>
      </c>
      <c r="G272" s="7" t="n">
        <v>0</v>
      </c>
      <c r="H272" s="7" t="n">
        <v>0</v>
      </c>
    </row>
    <row r="273" customFormat="false" ht="15" hidden="false" customHeight="false" outlineLevel="0" collapsed="false">
      <c r="A273" s="1" t="s">
        <v>213</v>
      </c>
      <c r="B273" s="1" t="s">
        <v>485</v>
      </c>
      <c r="C273" s="7" t="n">
        <v>0</v>
      </c>
      <c r="D273" s="7" t="n">
        <v>0</v>
      </c>
      <c r="E273" s="7" t="n">
        <v>0</v>
      </c>
      <c r="F273" s="7" t="s">
        <v>33</v>
      </c>
      <c r="G273" s="7" t="n">
        <v>0</v>
      </c>
      <c r="H273" s="7" t="n">
        <v>0</v>
      </c>
    </row>
    <row r="274" customFormat="false" ht="15" hidden="false" customHeight="false" outlineLevel="0" collapsed="false">
      <c r="A274" s="1" t="s">
        <v>213</v>
      </c>
      <c r="B274" s="1" t="s">
        <v>486</v>
      </c>
      <c r="C274" s="7" t="n">
        <v>10</v>
      </c>
      <c r="D274" s="7" t="s">
        <v>33</v>
      </c>
      <c r="E274" s="7" t="s">
        <v>33</v>
      </c>
      <c r="F274" s="7" t="n">
        <v>10</v>
      </c>
      <c r="G274" s="7" t="n">
        <v>5</v>
      </c>
      <c r="H274" s="7" t="s">
        <v>33</v>
      </c>
    </row>
    <row r="275" customFormat="false" ht="15" hidden="false" customHeight="false" outlineLevel="0" collapsed="false">
      <c r="A275" s="1" t="s">
        <v>213</v>
      </c>
      <c r="B275" s="1" t="s">
        <v>487</v>
      </c>
      <c r="C275" s="7" t="n">
        <v>0</v>
      </c>
      <c r="D275" s="7" t="n">
        <v>0</v>
      </c>
      <c r="E275" s="7" t="s">
        <v>33</v>
      </c>
      <c r="F275" s="7" t="n">
        <v>0</v>
      </c>
      <c r="G275" s="7" t="s">
        <v>33</v>
      </c>
      <c r="H275" s="7" t="s">
        <v>33</v>
      </c>
    </row>
    <row r="276" customFormat="false" ht="15" hidden="false" customHeight="false" outlineLevel="0" collapsed="false">
      <c r="A276" s="1" t="s">
        <v>213</v>
      </c>
      <c r="B276" s="1" t="s">
        <v>488</v>
      </c>
      <c r="C276" s="7" t="n">
        <v>0</v>
      </c>
      <c r="D276" s="7" t="n">
        <v>0</v>
      </c>
      <c r="E276" s="7" t="n">
        <v>0</v>
      </c>
      <c r="F276" s="7" t="n">
        <v>0</v>
      </c>
      <c r="G276" s="7" t="n">
        <v>0</v>
      </c>
      <c r="H276" s="7" t="s">
        <v>33</v>
      </c>
    </row>
    <row r="277" customFormat="false" ht="15" hidden="false" customHeight="false" outlineLevel="0" collapsed="false">
      <c r="A277" s="1" t="s">
        <v>213</v>
      </c>
      <c r="B277" s="1" t="s">
        <v>489</v>
      </c>
      <c r="C277" s="7" t="n">
        <v>0</v>
      </c>
      <c r="D277" s="7" t="n">
        <v>0</v>
      </c>
      <c r="E277" s="7" t="n">
        <v>0</v>
      </c>
      <c r="F277" s="7" t="n">
        <v>0</v>
      </c>
      <c r="G277" s="7" t="s">
        <v>33</v>
      </c>
      <c r="H277" s="7" t="n">
        <v>0</v>
      </c>
    </row>
    <row r="278" customFormat="false" ht="15" hidden="false" customHeight="false" outlineLevel="0" collapsed="false">
      <c r="A278" s="1" t="s">
        <v>213</v>
      </c>
      <c r="B278" s="1" t="s">
        <v>490</v>
      </c>
      <c r="C278" s="7" t="n">
        <v>0</v>
      </c>
      <c r="D278" s="7" t="n">
        <v>0</v>
      </c>
      <c r="E278" s="7" t="s">
        <v>33</v>
      </c>
      <c r="F278" s="7" t="n">
        <v>0</v>
      </c>
      <c r="G278" s="7" t="s">
        <v>33</v>
      </c>
      <c r="H278" s="7" t="n">
        <v>5</v>
      </c>
    </row>
    <row r="279" customFormat="false" ht="15" hidden="false" customHeight="false" outlineLevel="0" collapsed="false">
      <c r="A279" s="1" t="s">
        <v>213</v>
      </c>
      <c r="B279" s="1" t="s">
        <v>426</v>
      </c>
      <c r="C279" s="7" t="s">
        <v>35</v>
      </c>
      <c r="D279" s="7" t="s">
        <v>35</v>
      </c>
      <c r="E279" s="7" t="s">
        <v>35</v>
      </c>
      <c r="F279" s="7" t="s">
        <v>35</v>
      </c>
      <c r="G279" s="7" t="n">
        <v>15</v>
      </c>
      <c r="H279" s="7" t="n">
        <v>0</v>
      </c>
    </row>
    <row r="280" customFormat="false" ht="15" hidden="false" customHeight="false" outlineLevel="0" collapsed="false">
      <c r="A280" s="1" t="s">
        <v>213</v>
      </c>
      <c r="B280" s="1" t="s">
        <v>491</v>
      </c>
      <c r="C280" s="7" t="n">
        <v>0</v>
      </c>
      <c r="D280" s="7" t="n">
        <v>0</v>
      </c>
      <c r="E280" s="7" t="n">
        <v>0</v>
      </c>
      <c r="F280" s="7" t="n">
        <v>0</v>
      </c>
      <c r="G280" s="7" t="n">
        <v>0</v>
      </c>
      <c r="H280" s="7" t="n">
        <v>5</v>
      </c>
    </row>
    <row r="281" customFormat="false" ht="15" hidden="false" customHeight="false" outlineLevel="0" collapsed="false">
      <c r="A281" s="1" t="s">
        <v>213</v>
      </c>
      <c r="B281" s="1" t="s">
        <v>492</v>
      </c>
      <c r="C281" s="7" t="n">
        <v>0</v>
      </c>
      <c r="D281" s="7" t="s">
        <v>33</v>
      </c>
      <c r="E281" s="7" t="n">
        <v>0</v>
      </c>
      <c r="F281" s="7" t="n">
        <v>0</v>
      </c>
      <c r="G281" s="7" t="n">
        <v>0</v>
      </c>
      <c r="H281" s="7" t="n">
        <v>0</v>
      </c>
    </row>
    <row r="282" customFormat="false" ht="15" hidden="false" customHeight="false" outlineLevel="0" collapsed="false">
      <c r="A282" s="1" t="s">
        <v>213</v>
      </c>
      <c r="B282" s="1" t="s">
        <v>493</v>
      </c>
      <c r="C282" s="7" t="s">
        <v>35</v>
      </c>
      <c r="D282" s="7" t="s">
        <v>35</v>
      </c>
      <c r="E282" s="7" t="s">
        <v>35</v>
      </c>
      <c r="F282" s="7" t="s">
        <v>35</v>
      </c>
      <c r="G282" s="7" t="n">
        <v>0</v>
      </c>
      <c r="H282" s="7" t="s">
        <v>33</v>
      </c>
    </row>
    <row r="283" customFormat="false" ht="15" hidden="false" customHeight="false" outlineLevel="0" collapsed="false">
      <c r="A283" s="1" t="s">
        <v>213</v>
      </c>
      <c r="B283" s="1" t="s">
        <v>494</v>
      </c>
      <c r="C283" s="7" t="n">
        <v>0</v>
      </c>
      <c r="D283" s="7" t="n">
        <v>0</v>
      </c>
      <c r="E283" s="7" t="n">
        <v>20</v>
      </c>
      <c r="F283" s="7" t="n">
        <v>10</v>
      </c>
      <c r="G283" s="7" t="n">
        <v>20</v>
      </c>
      <c r="H283" s="7" t="n">
        <v>25</v>
      </c>
    </row>
    <row r="284" customFormat="false" ht="15" hidden="false" customHeight="false" outlineLevel="0" collapsed="false">
      <c r="A284" s="1" t="s">
        <v>213</v>
      </c>
      <c r="B284" s="1" t="s">
        <v>495</v>
      </c>
      <c r="C284" s="7" t="n">
        <v>1115</v>
      </c>
      <c r="D284" s="7" t="n">
        <v>1030</v>
      </c>
      <c r="E284" s="7" t="n">
        <v>730</v>
      </c>
      <c r="F284" s="7" t="n">
        <v>560</v>
      </c>
      <c r="G284" s="7" t="n">
        <v>425</v>
      </c>
      <c r="H284" s="7" t="n">
        <v>300</v>
      </c>
    </row>
    <row r="285" customFormat="false" ht="15" hidden="false" customHeight="false" outlineLevel="0" collapsed="false">
      <c r="A285" s="1" t="s">
        <v>213</v>
      </c>
      <c r="B285" s="1" t="s">
        <v>496</v>
      </c>
      <c r="C285" s="7" t="n">
        <v>70</v>
      </c>
      <c r="D285" s="7" t="n">
        <v>25</v>
      </c>
      <c r="E285" s="7" t="n">
        <v>45</v>
      </c>
      <c r="F285" s="7" t="n">
        <v>45</v>
      </c>
      <c r="G285" s="7" t="n">
        <v>15</v>
      </c>
      <c r="H285" s="7" t="n">
        <v>10</v>
      </c>
    </row>
    <row r="286" customFormat="false" ht="15" hidden="false" customHeight="false" outlineLevel="0" collapsed="false">
      <c r="A286" s="1" t="s">
        <v>213</v>
      </c>
      <c r="B286" s="1" t="s">
        <v>497</v>
      </c>
      <c r="C286" s="7" t="n">
        <v>70</v>
      </c>
      <c r="D286" s="7" t="n">
        <v>40</v>
      </c>
      <c r="E286" s="7" t="n">
        <v>15</v>
      </c>
      <c r="F286" s="7" t="n">
        <v>0</v>
      </c>
      <c r="G286" s="7" t="n">
        <v>50</v>
      </c>
      <c r="H286" s="7" t="n">
        <v>10</v>
      </c>
    </row>
    <row r="287" customFormat="false" ht="15" hidden="false" customHeight="false" outlineLevel="0" collapsed="false">
      <c r="A287" s="1" t="s">
        <v>213</v>
      </c>
      <c r="B287" s="1" t="s">
        <v>498</v>
      </c>
      <c r="C287" s="7" t="s">
        <v>33</v>
      </c>
      <c r="D287" s="7" t="s">
        <v>35</v>
      </c>
      <c r="E287" s="7" t="n">
        <v>0</v>
      </c>
      <c r="F287" s="7" t="n">
        <v>0</v>
      </c>
      <c r="G287" s="7" t="n">
        <v>0</v>
      </c>
      <c r="H287" s="7" t="n">
        <v>0</v>
      </c>
    </row>
    <row r="288" customFormat="false" ht="15" hidden="false" customHeight="false" outlineLevel="0" collapsed="false">
      <c r="A288" s="1" t="s">
        <v>213</v>
      </c>
      <c r="B288" s="1" t="s">
        <v>229</v>
      </c>
      <c r="C288" s="7" t="n">
        <v>145</v>
      </c>
      <c r="D288" s="7" t="n">
        <v>20</v>
      </c>
      <c r="E288" s="7" t="s">
        <v>33</v>
      </c>
      <c r="F288" s="7" t="s">
        <v>35</v>
      </c>
      <c r="G288" s="7" t="s">
        <v>35</v>
      </c>
      <c r="H288" s="7" t="s">
        <v>35</v>
      </c>
    </row>
    <row r="289" customFormat="false" ht="15" hidden="false" customHeight="false" outlineLevel="0" collapsed="false">
      <c r="A289" s="1" t="s">
        <v>213</v>
      </c>
      <c r="B289" s="1" t="s">
        <v>499</v>
      </c>
      <c r="C289" s="7" t="n">
        <v>0</v>
      </c>
      <c r="D289" s="7" t="n">
        <v>10</v>
      </c>
      <c r="E289" s="7" t="n">
        <v>10</v>
      </c>
      <c r="F289" s="7" t="n">
        <v>10</v>
      </c>
      <c r="G289" s="7" t="n">
        <v>10</v>
      </c>
      <c r="H289" s="7" t="n">
        <v>15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45 A1"/>
    </sheetView>
  </sheetViews>
  <sheetFormatPr defaultColWidth="11.078125" defaultRowHeight="15" zeroHeight="false" outlineLevelRow="0" outlineLevelCol="0"/>
  <cols>
    <col collapsed="false" customWidth="true" hidden="false" outlineLevel="0" max="1" min="1" style="1" width="6.69"/>
    <col collapsed="false" customWidth="true" hidden="false" outlineLevel="0" max="2" min="2" style="1" width="57.69"/>
    <col collapsed="false" customWidth="true" hidden="false" outlineLevel="0" max="8" min="3" style="1" width="19.69"/>
  </cols>
  <sheetData>
    <row r="1" customFormat="false" ht="30" hidden="false" customHeight="true" outlineLevel="0" collapsed="false">
      <c r="A1" s="2" t="s">
        <v>500</v>
      </c>
    </row>
    <row r="2" customFormat="false" ht="15" hidden="false" customHeight="false" outlineLevel="0" collapsed="false">
      <c r="A2" s="1" t="s">
        <v>7</v>
      </c>
    </row>
    <row r="3" customFormat="false" ht="15" hidden="false" customHeight="false" outlineLevel="0" collapsed="false">
      <c r="A3" s="1" t="s">
        <v>241</v>
      </c>
    </row>
    <row r="4" customFormat="false" ht="15" hidden="false" customHeight="false" outlineLevel="0" collapsed="false">
      <c r="A4" s="6" t="s">
        <v>206</v>
      </c>
      <c r="B4" s="6" t="s">
        <v>9</v>
      </c>
      <c r="C4" s="6" t="s">
        <v>10</v>
      </c>
      <c r="D4" s="6" t="s">
        <v>13</v>
      </c>
      <c r="E4" s="6" t="s">
        <v>16</v>
      </c>
      <c r="F4" s="6" t="s">
        <v>19</v>
      </c>
      <c r="G4" s="6" t="s">
        <v>22</v>
      </c>
      <c r="H4" s="6" t="s">
        <v>25</v>
      </c>
    </row>
    <row r="5" customFormat="false" ht="15" hidden="false" customHeight="false" outlineLevel="0" collapsed="false">
      <c r="A5" s="1" t="s">
        <v>207</v>
      </c>
      <c r="B5" s="1" t="s">
        <v>208</v>
      </c>
      <c r="C5" s="7" t="n">
        <v>15</v>
      </c>
      <c r="D5" s="7" t="n">
        <v>0</v>
      </c>
      <c r="E5" s="7" t="n">
        <v>0</v>
      </c>
      <c r="F5" s="7" t="n">
        <v>0</v>
      </c>
      <c r="G5" s="7" t="n">
        <v>5</v>
      </c>
      <c r="H5" s="7" t="n">
        <v>5</v>
      </c>
    </row>
    <row r="6" customFormat="false" ht="15" hidden="false" customHeight="false" outlineLevel="0" collapsed="false">
      <c r="A6" s="1" t="s">
        <v>209</v>
      </c>
      <c r="B6" s="1" t="s">
        <v>210</v>
      </c>
      <c r="C6" s="7" t="n">
        <v>155</v>
      </c>
      <c r="D6" s="7" t="n">
        <v>95</v>
      </c>
      <c r="E6" s="7" t="n">
        <v>70</v>
      </c>
      <c r="F6" s="7" t="n">
        <v>130</v>
      </c>
      <c r="G6" s="7" t="n">
        <v>165</v>
      </c>
      <c r="H6" s="7" t="n">
        <v>225</v>
      </c>
    </row>
    <row r="7" customFormat="false" ht="15" hidden="false" customHeight="false" outlineLevel="0" collapsed="false">
      <c r="A7" s="1" t="s">
        <v>211</v>
      </c>
      <c r="B7" s="1" t="s">
        <v>212</v>
      </c>
      <c r="C7" s="7" t="n">
        <v>1705</v>
      </c>
      <c r="D7" s="7" t="n">
        <v>1050</v>
      </c>
      <c r="E7" s="7" t="n">
        <v>1435</v>
      </c>
      <c r="F7" s="7" t="n">
        <v>1175</v>
      </c>
      <c r="G7" s="7" t="n">
        <v>1465</v>
      </c>
      <c r="H7" s="7" t="n">
        <v>1810</v>
      </c>
    </row>
    <row r="8" customFormat="false" ht="15" hidden="false" customHeight="false" outlineLevel="0" collapsed="false">
      <c r="A8" s="1" t="s">
        <v>213</v>
      </c>
      <c r="B8" s="1" t="s">
        <v>214</v>
      </c>
      <c r="C8" s="7" t="n">
        <v>2855</v>
      </c>
      <c r="D8" s="7" t="n">
        <v>1410</v>
      </c>
      <c r="E8" s="7" t="n">
        <v>2385</v>
      </c>
      <c r="F8" s="7" t="n">
        <v>1840</v>
      </c>
      <c r="G8" s="7" t="n">
        <v>2650</v>
      </c>
      <c r="H8" s="7" t="n">
        <v>2835</v>
      </c>
    </row>
    <row r="9" customFormat="false" ht="15" hidden="false" customHeight="false" outlineLevel="0" collapsed="false">
      <c r="A9" s="9" t="s">
        <v>207</v>
      </c>
      <c r="B9" s="9" t="s">
        <v>501</v>
      </c>
      <c r="C9" s="10" t="n">
        <v>0</v>
      </c>
      <c r="D9" s="10" t="n">
        <v>0</v>
      </c>
      <c r="E9" s="10" t="n">
        <v>0</v>
      </c>
      <c r="F9" s="10" t="n">
        <v>0</v>
      </c>
      <c r="G9" s="10" t="n">
        <v>5</v>
      </c>
      <c r="H9" s="10" t="s">
        <v>33</v>
      </c>
    </row>
    <row r="10" customFormat="false" ht="15" hidden="false" customHeight="false" outlineLevel="0" collapsed="false">
      <c r="A10" s="1" t="s">
        <v>207</v>
      </c>
      <c r="B10" s="1" t="s">
        <v>502</v>
      </c>
      <c r="C10" s="7" t="n">
        <v>15</v>
      </c>
      <c r="D10" s="7" t="n">
        <v>0</v>
      </c>
      <c r="E10" s="7" t="n">
        <v>0</v>
      </c>
      <c r="F10" s="7" t="n">
        <v>0</v>
      </c>
      <c r="G10" s="7" t="n">
        <v>0</v>
      </c>
      <c r="H10" s="7" t="s">
        <v>33</v>
      </c>
    </row>
    <row r="11" customFormat="false" ht="15" hidden="false" customHeight="false" outlineLevel="0" collapsed="false">
      <c r="A11" s="1" t="s">
        <v>209</v>
      </c>
      <c r="B11" s="1" t="s">
        <v>503</v>
      </c>
      <c r="C11" s="7" t="n">
        <v>20</v>
      </c>
      <c r="D11" s="7" t="n">
        <v>10</v>
      </c>
      <c r="E11" s="7" t="n">
        <v>10</v>
      </c>
      <c r="F11" s="7" t="n">
        <v>35</v>
      </c>
      <c r="G11" s="7" t="n">
        <v>35</v>
      </c>
      <c r="H11" s="7" t="n">
        <v>30</v>
      </c>
    </row>
    <row r="12" customFormat="false" ht="15" hidden="false" customHeight="false" outlineLevel="0" collapsed="false">
      <c r="A12" s="1" t="s">
        <v>209</v>
      </c>
      <c r="B12" s="1" t="s">
        <v>504</v>
      </c>
      <c r="C12" s="7" t="n">
        <v>65</v>
      </c>
      <c r="D12" s="7" t="n">
        <v>40</v>
      </c>
      <c r="E12" s="7" t="n">
        <v>20</v>
      </c>
      <c r="F12" s="7" t="n">
        <v>30</v>
      </c>
      <c r="G12" s="7" t="n">
        <v>45</v>
      </c>
      <c r="H12" s="7" t="n">
        <v>55</v>
      </c>
    </row>
    <row r="13" customFormat="false" ht="15" hidden="false" customHeight="false" outlineLevel="0" collapsed="false">
      <c r="A13" s="1" t="s">
        <v>209</v>
      </c>
      <c r="B13" s="1" t="s">
        <v>505</v>
      </c>
      <c r="C13" s="7" t="n">
        <v>0</v>
      </c>
      <c r="D13" s="7" t="n">
        <v>0</v>
      </c>
      <c r="E13" s="7" t="n">
        <v>0</v>
      </c>
      <c r="F13" s="7" t="n">
        <v>0</v>
      </c>
      <c r="G13" s="7" t="n">
        <v>0</v>
      </c>
      <c r="H13" s="7" t="n">
        <v>20</v>
      </c>
    </row>
    <row r="14" customFormat="false" ht="15" hidden="false" customHeight="false" outlineLevel="0" collapsed="false">
      <c r="A14" s="1" t="s">
        <v>209</v>
      </c>
      <c r="B14" s="1" t="s">
        <v>54</v>
      </c>
      <c r="C14" s="7" t="n">
        <v>10</v>
      </c>
      <c r="D14" s="7" t="n">
        <v>0</v>
      </c>
      <c r="E14" s="7" t="n">
        <v>0</v>
      </c>
      <c r="F14" s="7" t="n">
        <v>0</v>
      </c>
      <c r="G14" s="7" t="n">
        <v>0</v>
      </c>
      <c r="H14" s="7" t="n">
        <v>10</v>
      </c>
    </row>
    <row r="15" customFormat="false" ht="15" hidden="false" customHeight="false" outlineLevel="0" collapsed="false">
      <c r="A15" s="1" t="s">
        <v>209</v>
      </c>
      <c r="B15" s="1" t="s">
        <v>506</v>
      </c>
      <c r="C15" s="7" t="n">
        <v>0</v>
      </c>
      <c r="D15" s="7" t="n">
        <v>0</v>
      </c>
      <c r="E15" s="7" t="s">
        <v>33</v>
      </c>
      <c r="F15" s="7" t="n">
        <v>15</v>
      </c>
      <c r="G15" s="7" t="n">
        <v>15</v>
      </c>
      <c r="H15" s="7" t="n">
        <v>25</v>
      </c>
    </row>
    <row r="16" customFormat="false" ht="15" hidden="false" customHeight="false" outlineLevel="0" collapsed="false">
      <c r="A16" s="1" t="s">
        <v>209</v>
      </c>
      <c r="B16" s="1" t="s">
        <v>507</v>
      </c>
      <c r="C16" s="7" t="n">
        <v>15</v>
      </c>
      <c r="D16" s="7" t="s">
        <v>33</v>
      </c>
      <c r="E16" s="7" t="n">
        <v>10</v>
      </c>
      <c r="F16" s="7" t="n">
        <v>25</v>
      </c>
      <c r="G16" s="7" t="s">
        <v>33</v>
      </c>
      <c r="H16" s="7" t="s">
        <v>33</v>
      </c>
    </row>
    <row r="17" customFormat="false" ht="15" hidden="false" customHeight="false" outlineLevel="0" collapsed="false">
      <c r="A17" s="1" t="s">
        <v>209</v>
      </c>
      <c r="B17" s="1" t="s">
        <v>508</v>
      </c>
      <c r="C17" s="7" t="n">
        <v>15</v>
      </c>
      <c r="D17" s="7" t="n">
        <v>10</v>
      </c>
      <c r="E17" s="7" t="n">
        <v>5</v>
      </c>
      <c r="F17" s="7" t="n">
        <v>0</v>
      </c>
      <c r="G17" s="7" t="s">
        <v>33</v>
      </c>
      <c r="H17" s="7" t="n">
        <v>20</v>
      </c>
    </row>
    <row r="18" customFormat="false" ht="15" hidden="false" customHeight="false" outlineLevel="0" collapsed="false">
      <c r="A18" s="1" t="s">
        <v>209</v>
      </c>
      <c r="B18" s="1" t="s">
        <v>502</v>
      </c>
      <c r="C18" s="7" t="s">
        <v>33</v>
      </c>
      <c r="D18" s="7" t="n">
        <v>10</v>
      </c>
      <c r="E18" s="7" t="n">
        <v>10</v>
      </c>
      <c r="F18" s="7" t="n">
        <v>0</v>
      </c>
      <c r="G18" s="7" t="n">
        <v>25</v>
      </c>
      <c r="H18" s="7" t="n">
        <v>20</v>
      </c>
    </row>
    <row r="19" customFormat="false" ht="15" hidden="false" customHeight="false" outlineLevel="0" collapsed="false">
      <c r="A19" s="1" t="s">
        <v>209</v>
      </c>
      <c r="B19" s="1" t="s">
        <v>227</v>
      </c>
      <c r="C19" s="7" t="n">
        <v>30</v>
      </c>
      <c r="D19" s="7" t="n">
        <v>25</v>
      </c>
      <c r="E19" s="7" t="n">
        <v>15</v>
      </c>
      <c r="F19" s="7" t="n">
        <v>30</v>
      </c>
      <c r="G19" s="7" t="n">
        <v>25</v>
      </c>
      <c r="H19" s="7" t="n">
        <v>30</v>
      </c>
    </row>
    <row r="20" customFormat="false" ht="15" hidden="false" customHeight="false" outlineLevel="0" collapsed="false">
      <c r="A20" s="1" t="s">
        <v>209</v>
      </c>
      <c r="B20" s="1" t="s">
        <v>509</v>
      </c>
      <c r="C20" s="7" t="n">
        <v>0</v>
      </c>
      <c r="D20" s="7" t="n">
        <v>0</v>
      </c>
      <c r="E20" s="7" t="n">
        <v>0</v>
      </c>
      <c r="F20" s="7" t="n">
        <v>0</v>
      </c>
      <c r="G20" s="7" t="n">
        <v>20</v>
      </c>
      <c r="H20" s="7" t="n">
        <v>15</v>
      </c>
    </row>
    <row r="21" customFormat="false" ht="15" hidden="false" customHeight="false" outlineLevel="0" collapsed="false">
      <c r="A21" s="1" t="s">
        <v>211</v>
      </c>
      <c r="B21" s="1" t="s">
        <v>155</v>
      </c>
      <c r="C21" s="7" t="n">
        <v>10</v>
      </c>
      <c r="D21" s="7" t="n">
        <v>5</v>
      </c>
      <c r="E21" s="7" t="n">
        <v>40</v>
      </c>
      <c r="F21" s="7" t="n">
        <v>30</v>
      </c>
      <c r="G21" s="7" t="n">
        <v>60</v>
      </c>
      <c r="H21" s="7" t="s">
        <v>33</v>
      </c>
    </row>
    <row r="22" customFormat="false" ht="15" hidden="false" customHeight="false" outlineLevel="0" collapsed="false">
      <c r="A22" s="1" t="s">
        <v>211</v>
      </c>
      <c r="B22" s="1" t="s">
        <v>510</v>
      </c>
      <c r="C22" s="7" t="n">
        <v>30</v>
      </c>
      <c r="D22" s="7" t="n">
        <v>25</v>
      </c>
      <c r="E22" s="7" t="n">
        <v>30</v>
      </c>
      <c r="F22" s="7" t="n">
        <v>35</v>
      </c>
      <c r="G22" s="7" t="n">
        <v>50</v>
      </c>
      <c r="H22" s="7" t="n">
        <v>45</v>
      </c>
    </row>
    <row r="23" customFormat="false" ht="15" hidden="false" customHeight="false" outlineLevel="0" collapsed="false">
      <c r="A23" s="1" t="s">
        <v>211</v>
      </c>
      <c r="B23" s="1" t="s">
        <v>511</v>
      </c>
      <c r="C23" s="7" t="n">
        <v>165</v>
      </c>
      <c r="D23" s="7" t="n">
        <v>90</v>
      </c>
      <c r="E23" s="7" t="n">
        <v>60</v>
      </c>
      <c r="F23" s="7" t="n">
        <v>155</v>
      </c>
      <c r="G23" s="7" t="n">
        <v>145</v>
      </c>
      <c r="H23" s="7" t="n">
        <v>155</v>
      </c>
    </row>
    <row r="24" customFormat="false" ht="15" hidden="false" customHeight="false" outlineLevel="0" collapsed="false">
      <c r="A24" s="1" t="s">
        <v>211</v>
      </c>
      <c r="B24" s="1" t="s">
        <v>358</v>
      </c>
      <c r="C24" s="7" t="n">
        <v>25</v>
      </c>
      <c r="D24" s="7" t="s">
        <v>33</v>
      </c>
      <c r="E24" s="7" t="n">
        <v>15</v>
      </c>
      <c r="F24" s="7" t="n">
        <v>30</v>
      </c>
      <c r="G24" s="7" t="n">
        <v>20</v>
      </c>
      <c r="H24" s="7" t="n">
        <v>55</v>
      </c>
    </row>
    <row r="25" customFormat="false" ht="15" hidden="false" customHeight="false" outlineLevel="0" collapsed="false">
      <c r="A25" s="1" t="s">
        <v>211</v>
      </c>
      <c r="B25" s="1" t="s">
        <v>289</v>
      </c>
      <c r="C25" s="7" t="n">
        <v>75</v>
      </c>
      <c r="D25" s="7" t="n">
        <v>60</v>
      </c>
      <c r="E25" s="7" t="n">
        <v>120</v>
      </c>
      <c r="F25" s="7" t="n">
        <v>5</v>
      </c>
      <c r="G25" s="7" t="n">
        <v>75</v>
      </c>
      <c r="H25" s="7" t="n">
        <v>15</v>
      </c>
    </row>
    <row r="26" customFormat="false" ht="15" hidden="false" customHeight="false" outlineLevel="0" collapsed="false">
      <c r="A26" s="1" t="s">
        <v>211</v>
      </c>
      <c r="B26" s="1" t="s">
        <v>512</v>
      </c>
      <c r="C26" s="7" t="n">
        <v>95</v>
      </c>
      <c r="D26" s="7" t="n">
        <v>45</v>
      </c>
      <c r="E26" s="7" t="n">
        <v>70</v>
      </c>
      <c r="F26" s="7" t="n">
        <v>60</v>
      </c>
      <c r="G26" s="7" t="n">
        <v>165</v>
      </c>
      <c r="H26" s="7" t="n">
        <v>125</v>
      </c>
    </row>
    <row r="27" customFormat="false" ht="15" hidden="false" customHeight="false" outlineLevel="0" collapsed="false">
      <c r="A27" s="1" t="s">
        <v>211</v>
      </c>
      <c r="B27" s="1" t="s">
        <v>513</v>
      </c>
      <c r="C27" s="7" t="n">
        <v>5</v>
      </c>
      <c r="D27" s="7" t="s">
        <v>35</v>
      </c>
      <c r="E27" s="7" t="s">
        <v>35</v>
      </c>
      <c r="F27" s="7" t="s">
        <v>35</v>
      </c>
      <c r="G27" s="7" t="s">
        <v>35</v>
      </c>
      <c r="H27" s="7" t="s">
        <v>35</v>
      </c>
    </row>
    <row r="28" customFormat="false" ht="15" hidden="false" customHeight="false" outlineLevel="0" collapsed="false">
      <c r="A28" s="1" t="s">
        <v>211</v>
      </c>
      <c r="B28" s="1" t="s">
        <v>54</v>
      </c>
      <c r="C28" s="7" t="n">
        <v>40</v>
      </c>
      <c r="D28" s="7" t="n">
        <v>0</v>
      </c>
      <c r="E28" s="7" t="n">
        <v>15</v>
      </c>
      <c r="F28" s="7" t="n">
        <v>10</v>
      </c>
      <c r="G28" s="7" t="n">
        <v>10</v>
      </c>
      <c r="H28" s="7" t="n">
        <v>45</v>
      </c>
    </row>
    <row r="29" customFormat="false" ht="15" hidden="false" customHeight="false" outlineLevel="0" collapsed="false">
      <c r="A29" s="1" t="s">
        <v>211</v>
      </c>
      <c r="B29" s="1" t="s">
        <v>514</v>
      </c>
      <c r="C29" s="7" t="n">
        <v>35</v>
      </c>
      <c r="D29" s="7" t="n">
        <v>25</v>
      </c>
      <c r="E29" s="7" t="n">
        <v>70</v>
      </c>
      <c r="F29" s="7" t="n">
        <v>20</v>
      </c>
      <c r="G29" s="7" t="n">
        <v>75</v>
      </c>
      <c r="H29" s="7" t="n">
        <v>70</v>
      </c>
    </row>
    <row r="30" customFormat="false" ht="15" hidden="false" customHeight="false" outlineLevel="0" collapsed="false">
      <c r="A30" s="1" t="s">
        <v>211</v>
      </c>
      <c r="B30" s="1" t="s">
        <v>294</v>
      </c>
      <c r="C30" s="7" t="s">
        <v>33</v>
      </c>
      <c r="D30" s="7" t="n">
        <v>0</v>
      </c>
      <c r="E30" s="7" t="n">
        <v>0</v>
      </c>
      <c r="F30" s="7" t="s">
        <v>33</v>
      </c>
      <c r="G30" s="7" t="n">
        <v>20</v>
      </c>
      <c r="H30" s="7" t="n">
        <v>30</v>
      </c>
    </row>
    <row r="31" customFormat="false" ht="15" hidden="false" customHeight="false" outlineLevel="0" collapsed="false">
      <c r="A31" s="1" t="s">
        <v>211</v>
      </c>
      <c r="B31" s="1" t="s">
        <v>506</v>
      </c>
      <c r="C31" s="7" t="s">
        <v>33</v>
      </c>
      <c r="D31" s="7" t="n">
        <v>5</v>
      </c>
      <c r="E31" s="7" t="n">
        <v>10</v>
      </c>
      <c r="F31" s="7" t="n">
        <v>20</v>
      </c>
      <c r="G31" s="7" t="n">
        <v>35</v>
      </c>
      <c r="H31" s="7" t="n">
        <v>60</v>
      </c>
    </row>
    <row r="32" customFormat="false" ht="15" hidden="false" customHeight="false" outlineLevel="0" collapsed="false">
      <c r="A32" s="1" t="s">
        <v>211</v>
      </c>
      <c r="B32" s="1" t="s">
        <v>515</v>
      </c>
      <c r="C32" s="7" t="n">
        <v>15</v>
      </c>
      <c r="D32" s="7" t="n">
        <v>0</v>
      </c>
      <c r="E32" s="7" t="n">
        <v>15</v>
      </c>
      <c r="F32" s="7" t="n">
        <v>5</v>
      </c>
      <c r="G32" s="7" t="n">
        <v>0</v>
      </c>
      <c r="H32" s="7" t="n">
        <v>0</v>
      </c>
    </row>
    <row r="33" customFormat="false" ht="15" hidden="false" customHeight="false" outlineLevel="0" collapsed="false">
      <c r="A33" s="1" t="s">
        <v>211</v>
      </c>
      <c r="B33" s="1" t="s">
        <v>516</v>
      </c>
      <c r="C33" s="7" t="n">
        <v>20</v>
      </c>
      <c r="D33" s="7" t="n">
        <v>15</v>
      </c>
      <c r="E33" s="7" t="n">
        <v>10</v>
      </c>
      <c r="F33" s="7" t="n">
        <v>10</v>
      </c>
      <c r="G33" s="7" t="n">
        <v>15</v>
      </c>
      <c r="H33" s="7" t="n">
        <v>20</v>
      </c>
    </row>
    <row r="34" customFormat="false" ht="15" hidden="false" customHeight="false" outlineLevel="0" collapsed="false">
      <c r="A34" s="1" t="s">
        <v>211</v>
      </c>
      <c r="B34" s="1" t="s">
        <v>231</v>
      </c>
      <c r="C34" s="7" t="n">
        <v>15</v>
      </c>
      <c r="D34" s="7" t="s">
        <v>33</v>
      </c>
      <c r="E34" s="7" t="n">
        <v>20</v>
      </c>
      <c r="F34" s="7" t="n">
        <v>15</v>
      </c>
      <c r="G34" s="7" t="n">
        <v>15</v>
      </c>
      <c r="H34" s="7" t="n">
        <v>40</v>
      </c>
    </row>
    <row r="35" customFormat="false" ht="15" hidden="false" customHeight="false" outlineLevel="0" collapsed="false">
      <c r="A35" s="1" t="s">
        <v>211</v>
      </c>
      <c r="B35" s="1" t="s">
        <v>507</v>
      </c>
      <c r="C35" s="7" t="n">
        <v>5</v>
      </c>
      <c r="D35" s="7" t="n">
        <v>15</v>
      </c>
      <c r="E35" s="7" t="n">
        <v>10</v>
      </c>
      <c r="F35" s="7" t="n">
        <v>10</v>
      </c>
      <c r="G35" s="7" t="n">
        <v>10</v>
      </c>
      <c r="H35" s="7" t="n">
        <v>0</v>
      </c>
    </row>
    <row r="36" customFormat="false" ht="15" hidden="false" customHeight="false" outlineLevel="0" collapsed="false">
      <c r="A36" s="1" t="s">
        <v>211</v>
      </c>
      <c r="B36" s="1" t="s">
        <v>517</v>
      </c>
      <c r="C36" s="7" t="n">
        <v>125</v>
      </c>
      <c r="D36" s="7" t="n">
        <v>35</v>
      </c>
      <c r="E36" s="7" t="n">
        <v>60</v>
      </c>
      <c r="F36" s="7" t="n">
        <v>30</v>
      </c>
      <c r="G36" s="7" t="n">
        <v>65</v>
      </c>
      <c r="H36" s="7" t="n">
        <v>150</v>
      </c>
    </row>
    <row r="37" customFormat="false" ht="15" hidden="false" customHeight="false" outlineLevel="0" collapsed="false">
      <c r="A37" s="1" t="s">
        <v>211</v>
      </c>
      <c r="B37" s="1" t="s">
        <v>518</v>
      </c>
      <c r="C37" s="7" t="n">
        <v>5</v>
      </c>
      <c r="D37" s="7" t="n">
        <v>5</v>
      </c>
      <c r="E37" s="7" t="n">
        <v>15</v>
      </c>
      <c r="F37" s="7" t="n">
        <v>0</v>
      </c>
      <c r="G37" s="7" t="n">
        <v>5</v>
      </c>
      <c r="H37" s="7" t="n">
        <v>15</v>
      </c>
    </row>
    <row r="38" customFormat="false" ht="15" hidden="false" customHeight="false" outlineLevel="0" collapsed="false">
      <c r="A38" s="1" t="s">
        <v>211</v>
      </c>
      <c r="B38" s="1" t="s">
        <v>519</v>
      </c>
      <c r="C38" s="7" t="n">
        <v>130</v>
      </c>
      <c r="D38" s="7" t="n">
        <v>50</v>
      </c>
      <c r="E38" s="7" t="n">
        <v>80</v>
      </c>
      <c r="F38" s="7" t="n">
        <v>60</v>
      </c>
      <c r="G38" s="7" t="n">
        <v>25</v>
      </c>
      <c r="H38" s="7" t="n">
        <v>60</v>
      </c>
    </row>
    <row r="39" customFormat="false" ht="15" hidden="false" customHeight="false" outlineLevel="0" collapsed="false">
      <c r="A39" s="1" t="s">
        <v>211</v>
      </c>
      <c r="B39" s="1" t="s">
        <v>520</v>
      </c>
      <c r="C39" s="7" t="n">
        <v>25</v>
      </c>
      <c r="D39" s="7" t="n">
        <v>50</v>
      </c>
      <c r="E39" s="7" t="n">
        <v>55</v>
      </c>
      <c r="F39" s="7" t="n">
        <v>45</v>
      </c>
      <c r="G39" s="7" t="n">
        <v>55</v>
      </c>
      <c r="H39" s="7" t="n">
        <v>45</v>
      </c>
    </row>
    <row r="40" customFormat="false" ht="15" hidden="false" customHeight="false" outlineLevel="0" collapsed="false">
      <c r="A40" s="1" t="s">
        <v>211</v>
      </c>
      <c r="B40" s="1" t="s">
        <v>521</v>
      </c>
      <c r="C40" s="7" t="n">
        <v>0</v>
      </c>
      <c r="D40" s="7" t="n">
        <v>5</v>
      </c>
      <c r="E40" s="7" t="n">
        <v>0</v>
      </c>
      <c r="F40" s="7" t="s">
        <v>33</v>
      </c>
      <c r="G40" s="7" t="n">
        <v>5</v>
      </c>
      <c r="H40" s="7" t="n">
        <v>0</v>
      </c>
    </row>
    <row r="41" customFormat="false" ht="15" hidden="false" customHeight="false" outlineLevel="0" collapsed="false">
      <c r="A41" s="1" t="s">
        <v>211</v>
      </c>
      <c r="B41" s="1" t="s">
        <v>522</v>
      </c>
      <c r="C41" s="7" t="n">
        <v>170</v>
      </c>
      <c r="D41" s="7" t="n">
        <v>90</v>
      </c>
      <c r="E41" s="7" t="n">
        <v>145</v>
      </c>
      <c r="F41" s="7" t="n">
        <v>130</v>
      </c>
      <c r="G41" s="7" t="n">
        <v>90</v>
      </c>
      <c r="H41" s="7" t="n">
        <v>150</v>
      </c>
    </row>
    <row r="42" customFormat="false" ht="15" hidden="false" customHeight="false" outlineLevel="0" collapsed="false">
      <c r="A42" s="1" t="s">
        <v>211</v>
      </c>
      <c r="B42" s="1" t="s">
        <v>523</v>
      </c>
      <c r="C42" s="7" t="n">
        <v>15</v>
      </c>
      <c r="D42" s="7" t="n">
        <v>5</v>
      </c>
      <c r="E42" s="7" t="n">
        <v>5</v>
      </c>
      <c r="F42" s="7" t="n">
        <v>5</v>
      </c>
      <c r="G42" s="7" t="n">
        <v>0</v>
      </c>
      <c r="H42" s="7" t="n">
        <v>20</v>
      </c>
    </row>
    <row r="43" customFormat="false" ht="15" hidden="false" customHeight="false" outlineLevel="0" collapsed="false">
      <c r="A43" s="1" t="s">
        <v>211</v>
      </c>
      <c r="B43" s="1" t="s">
        <v>524</v>
      </c>
      <c r="C43" s="7" t="n">
        <v>25</v>
      </c>
      <c r="D43" s="7" t="n">
        <v>25</v>
      </c>
      <c r="E43" s="7" t="n">
        <v>15</v>
      </c>
      <c r="F43" s="7" t="n">
        <v>20</v>
      </c>
      <c r="G43" s="7" t="n">
        <v>10</v>
      </c>
      <c r="H43" s="7" t="n">
        <v>5</v>
      </c>
    </row>
    <row r="44" customFormat="false" ht="15" hidden="false" customHeight="false" outlineLevel="0" collapsed="false">
      <c r="A44" s="1" t="s">
        <v>211</v>
      </c>
      <c r="B44" s="1" t="s">
        <v>525</v>
      </c>
      <c r="C44" s="7" t="n">
        <v>15</v>
      </c>
      <c r="D44" s="7" t="n">
        <v>20</v>
      </c>
      <c r="E44" s="7" t="n">
        <v>5</v>
      </c>
      <c r="F44" s="7" t="n">
        <v>10</v>
      </c>
      <c r="G44" s="7" t="n">
        <v>20</v>
      </c>
      <c r="H44" s="7" t="n">
        <v>20</v>
      </c>
    </row>
    <row r="45" customFormat="false" ht="15" hidden="false" customHeight="false" outlineLevel="0" collapsed="false">
      <c r="A45" s="1" t="s">
        <v>211</v>
      </c>
      <c r="B45" s="1" t="s">
        <v>223</v>
      </c>
      <c r="C45" s="7" t="n">
        <v>90</v>
      </c>
      <c r="D45" s="7" t="n">
        <v>85</v>
      </c>
      <c r="E45" s="7" t="n">
        <v>165</v>
      </c>
      <c r="F45" s="7" t="n">
        <v>115</v>
      </c>
      <c r="G45" s="7" t="n">
        <v>60</v>
      </c>
      <c r="H45" s="7" t="n">
        <v>95</v>
      </c>
    </row>
    <row r="46" customFormat="false" ht="15" hidden="false" customHeight="false" outlineLevel="0" collapsed="false">
      <c r="A46" s="1" t="s">
        <v>211</v>
      </c>
      <c r="B46" s="1" t="s">
        <v>308</v>
      </c>
      <c r="C46" s="7" t="n">
        <v>45</v>
      </c>
      <c r="D46" s="7" t="n">
        <v>70</v>
      </c>
      <c r="E46" s="7" t="n">
        <v>75</v>
      </c>
      <c r="F46" s="7" t="s">
        <v>33</v>
      </c>
      <c r="G46" s="7" t="n">
        <v>45</v>
      </c>
      <c r="H46" s="7" t="n">
        <v>65</v>
      </c>
    </row>
    <row r="47" customFormat="false" ht="15" hidden="false" customHeight="false" outlineLevel="0" collapsed="false">
      <c r="A47" s="1" t="s">
        <v>211</v>
      </c>
      <c r="B47" s="1" t="s">
        <v>309</v>
      </c>
      <c r="C47" s="7" t="n">
        <v>65</v>
      </c>
      <c r="D47" s="7" t="n">
        <v>45</v>
      </c>
      <c r="E47" s="7" t="n">
        <v>40</v>
      </c>
      <c r="F47" s="7" t="n">
        <v>65</v>
      </c>
      <c r="G47" s="7" t="n">
        <v>55</v>
      </c>
      <c r="H47" s="7" t="n">
        <v>70</v>
      </c>
    </row>
    <row r="48" customFormat="false" ht="15" hidden="false" customHeight="false" outlineLevel="0" collapsed="false">
      <c r="A48" s="1" t="s">
        <v>211</v>
      </c>
      <c r="B48" s="1" t="s">
        <v>225</v>
      </c>
      <c r="C48" s="7" t="s">
        <v>35</v>
      </c>
      <c r="D48" s="7" t="s">
        <v>35</v>
      </c>
      <c r="E48" s="7" t="n">
        <v>0</v>
      </c>
      <c r="F48" s="7" t="n">
        <v>10</v>
      </c>
      <c r="G48" s="7" t="n">
        <v>25</v>
      </c>
      <c r="H48" s="7" t="n">
        <v>70</v>
      </c>
    </row>
    <row r="49" customFormat="false" ht="15" hidden="false" customHeight="false" outlineLevel="0" collapsed="false">
      <c r="A49" s="1" t="s">
        <v>211</v>
      </c>
      <c r="B49" s="1" t="s">
        <v>526</v>
      </c>
      <c r="C49" s="7" t="n">
        <v>40</v>
      </c>
      <c r="D49" s="7" t="n">
        <v>10</v>
      </c>
      <c r="E49" s="7" t="n">
        <v>5</v>
      </c>
      <c r="F49" s="7" t="n">
        <v>20</v>
      </c>
      <c r="G49" s="7" t="n">
        <v>0</v>
      </c>
      <c r="H49" s="7" t="s">
        <v>35</v>
      </c>
    </row>
    <row r="50" customFormat="false" ht="15" hidden="false" customHeight="false" outlineLevel="0" collapsed="false">
      <c r="A50" s="1" t="s">
        <v>211</v>
      </c>
      <c r="B50" s="1" t="s">
        <v>527</v>
      </c>
      <c r="C50" s="7" t="n">
        <v>30</v>
      </c>
      <c r="D50" s="7" t="n">
        <v>40</v>
      </c>
      <c r="E50" s="7" t="n">
        <v>70</v>
      </c>
      <c r="F50" s="7" t="n">
        <v>25</v>
      </c>
      <c r="G50" s="7" t="n">
        <v>30</v>
      </c>
      <c r="H50" s="7" t="n">
        <v>70</v>
      </c>
    </row>
    <row r="51" customFormat="false" ht="15" hidden="false" customHeight="false" outlineLevel="0" collapsed="false">
      <c r="A51" s="1" t="s">
        <v>211</v>
      </c>
      <c r="B51" s="1" t="s">
        <v>528</v>
      </c>
      <c r="C51" s="7" t="n">
        <v>15</v>
      </c>
      <c r="D51" s="7" t="n">
        <v>15</v>
      </c>
      <c r="E51" s="7" t="n">
        <v>15</v>
      </c>
      <c r="F51" s="7" t="n">
        <v>10</v>
      </c>
      <c r="G51" s="7" t="n">
        <v>15</v>
      </c>
      <c r="H51" s="7" t="n">
        <v>25</v>
      </c>
    </row>
    <row r="52" customFormat="false" ht="15" hidden="false" customHeight="false" outlineLevel="0" collapsed="false">
      <c r="A52" s="1" t="s">
        <v>211</v>
      </c>
      <c r="B52" s="1" t="s">
        <v>311</v>
      </c>
      <c r="C52" s="7" t="n">
        <v>0</v>
      </c>
      <c r="D52" s="7" t="n">
        <v>0</v>
      </c>
      <c r="E52" s="7" t="n">
        <v>0</v>
      </c>
      <c r="F52" s="7" t="n">
        <v>25</v>
      </c>
      <c r="G52" s="7" t="n">
        <v>10</v>
      </c>
      <c r="H52" s="7" t="n">
        <v>15</v>
      </c>
    </row>
    <row r="53" customFormat="false" ht="15" hidden="false" customHeight="false" outlineLevel="0" collapsed="false">
      <c r="A53" s="1" t="s">
        <v>211</v>
      </c>
      <c r="B53" s="1" t="s">
        <v>71</v>
      </c>
      <c r="C53" s="7" t="s">
        <v>33</v>
      </c>
      <c r="D53" s="7" t="s">
        <v>33</v>
      </c>
      <c r="E53" s="7" t="s">
        <v>33</v>
      </c>
      <c r="F53" s="7" t="n">
        <v>25</v>
      </c>
      <c r="G53" s="7" t="s">
        <v>33</v>
      </c>
      <c r="H53" s="7" t="n">
        <v>10</v>
      </c>
    </row>
    <row r="54" customFormat="false" ht="15" hidden="false" customHeight="false" outlineLevel="0" collapsed="false">
      <c r="A54" s="1" t="s">
        <v>211</v>
      </c>
      <c r="B54" s="1" t="s">
        <v>285</v>
      </c>
      <c r="C54" s="7" t="n">
        <v>95</v>
      </c>
      <c r="D54" s="7" t="n">
        <v>40</v>
      </c>
      <c r="E54" s="7" t="n">
        <v>55</v>
      </c>
      <c r="F54" s="7" t="n">
        <v>10</v>
      </c>
      <c r="G54" s="7" t="n">
        <v>80</v>
      </c>
      <c r="H54" s="7" t="n">
        <v>35</v>
      </c>
    </row>
    <row r="55" customFormat="false" ht="15" hidden="false" customHeight="false" outlineLevel="0" collapsed="false">
      <c r="A55" s="1" t="s">
        <v>211</v>
      </c>
      <c r="B55" s="1" t="s">
        <v>236</v>
      </c>
      <c r="C55" s="7" t="n">
        <v>0</v>
      </c>
      <c r="D55" s="7" t="n">
        <v>0</v>
      </c>
      <c r="E55" s="7" t="s">
        <v>33</v>
      </c>
      <c r="F55" s="7" t="n">
        <v>0</v>
      </c>
      <c r="G55" s="7" t="n">
        <v>0</v>
      </c>
      <c r="H55" s="7" t="n">
        <v>10</v>
      </c>
    </row>
    <row r="56" customFormat="false" ht="15" hidden="false" customHeight="false" outlineLevel="0" collapsed="false">
      <c r="A56" s="1" t="s">
        <v>211</v>
      </c>
      <c r="B56" s="1" t="s">
        <v>204</v>
      </c>
      <c r="C56" s="7" t="n">
        <v>185</v>
      </c>
      <c r="D56" s="7" t="n">
        <v>130</v>
      </c>
      <c r="E56" s="7" t="n">
        <v>110</v>
      </c>
      <c r="F56" s="7" t="n">
        <v>75</v>
      </c>
      <c r="G56" s="7" t="n">
        <v>95</v>
      </c>
      <c r="H56" s="7" t="n">
        <v>85</v>
      </c>
    </row>
    <row r="57" customFormat="false" ht="15" hidden="false" customHeight="false" outlineLevel="0" collapsed="false">
      <c r="A57" s="1" t="s">
        <v>211</v>
      </c>
      <c r="B57" s="1" t="s">
        <v>509</v>
      </c>
      <c r="C57" s="7" t="n">
        <v>55</v>
      </c>
      <c r="D57" s="7" t="n">
        <v>30</v>
      </c>
      <c r="E57" s="7" t="n">
        <v>10</v>
      </c>
      <c r="F57" s="7" t="n">
        <v>35</v>
      </c>
      <c r="G57" s="7" t="n">
        <v>40</v>
      </c>
      <c r="H57" s="7" t="n">
        <v>100</v>
      </c>
    </row>
    <row r="58" customFormat="false" ht="15" hidden="false" customHeight="false" outlineLevel="0" collapsed="false">
      <c r="A58" s="1" t="s">
        <v>211</v>
      </c>
      <c r="B58" s="1" t="s">
        <v>229</v>
      </c>
      <c r="C58" s="7" t="n">
        <v>30</v>
      </c>
      <c r="D58" s="7" t="n">
        <v>10</v>
      </c>
      <c r="E58" s="7" t="n">
        <v>15</v>
      </c>
      <c r="F58" s="7" t="n">
        <v>30</v>
      </c>
      <c r="G58" s="7" t="n">
        <v>40</v>
      </c>
      <c r="H58" s="7" t="n">
        <v>55</v>
      </c>
    </row>
    <row r="59" customFormat="false" ht="15" hidden="false" customHeight="false" outlineLevel="0" collapsed="false">
      <c r="A59" s="1" t="s">
        <v>213</v>
      </c>
      <c r="B59" s="1" t="s">
        <v>529</v>
      </c>
      <c r="C59" s="7" t="n">
        <v>85</v>
      </c>
      <c r="D59" s="7" t="n">
        <v>50</v>
      </c>
      <c r="E59" s="7" t="n">
        <v>40</v>
      </c>
      <c r="F59" s="7" t="n">
        <v>75</v>
      </c>
      <c r="G59" s="7" t="n">
        <v>50</v>
      </c>
      <c r="H59" s="7" t="n">
        <v>120</v>
      </c>
    </row>
    <row r="60" customFormat="false" ht="15" hidden="false" customHeight="false" outlineLevel="0" collapsed="false">
      <c r="A60" s="1" t="s">
        <v>213</v>
      </c>
      <c r="B60" s="1" t="s">
        <v>286</v>
      </c>
      <c r="C60" s="7" t="n">
        <v>10</v>
      </c>
      <c r="D60" s="7" t="n">
        <v>0</v>
      </c>
      <c r="E60" s="7" t="n">
        <v>0</v>
      </c>
      <c r="F60" s="7" t="n">
        <v>0</v>
      </c>
      <c r="G60" s="7" t="n">
        <v>0</v>
      </c>
      <c r="H60" s="7" t="n">
        <v>0</v>
      </c>
    </row>
    <row r="61" customFormat="false" ht="15" hidden="false" customHeight="false" outlineLevel="0" collapsed="false">
      <c r="A61" s="1" t="s">
        <v>213</v>
      </c>
      <c r="B61" s="1" t="s">
        <v>530</v>
      </c>
      <c r="C61" s="7" t="n">
        <v>55</v>
      </c>
      <c r="D61" s="7" t="s">
        <v>33</v>
      </c>
      <c r="E61" s="7" t="n">
        <v>0</v>
      </c>
      <c r="F61" s="7" t="s">
        <v>33</v>
      </c>
      <c r="G61" s="7" t="n">
        <v>70</v>
      </c>
      <c r="H61" s="7" t="s">
        <v>33</v>
      </c>
    </row>
    <row r="62" customFormat="false" ht="15" hidden="false" customHeight="false" outlineLevel="0" collapsed="false">
      <c r="A62" s="1" t="s">
        <v>213</v>
      </c>
      <c r="B62" s="1" t="s">
        <v>531</v>
      </c>
      <c r="C62" s="7" t="n">
        <v>70</v>
      </c>
      <c r="D62" s="7" t="n">
        <v>45</v>
      </c>
      <c r="E62" s="7" t="n">
        <v>35</v>
      </c>
      <c r="F62" s="7" t="n">
        <v>10</v>
      </c>
      <c r="G62" s="7" t="n">
        <v>45</v>
      </c>
      <c r="H62" s="7" t="n">
        <v>45</v>
      </c>
    </row>
    <row r="63" customFormat="false" ht="15" hidden="false" customHeight="false" outlineLevel="0" collapsed="false">
      <c r="A63" s="1" t="s">
        <v>213</v>
      </c>
      <c r="B63" s="1" t="s">
        <v>358</v>
      </c>
      <c r="C63" s="7" t="n">
        <v>50</v>
      </c>
      <c r="D63" s="7" t="n">
        <v>30</v>
      </c>
      <c r="E63" s="7" t="n">
        <v>40</v>
      </c>
      <c r="F63" s="7" t="n">
        <v>25</v>
      </c>
      <c r="G63" s="7" t="n">
        <v>20</v>
      </c>
      <c r="H63" s="7" t="n">
        <v>10</v>
      </c>
    </row>
    <row r="64" customFormat="false" ht="15" hidden="false" customHeight="false" outlineLevel="0" collapsed="false">
      <c r="A64" s="1" t="s">
        <v>213</v>
      </c>
      <c r="B64" s="1" t="s">
        <v>532</v>
      </c>
      <c r="C64" s="7" t="n">
        <v>35</v>
      </c>
      <c r="D64" s="7" t="n">
        <v>0</v>
      </c>
      <c r="E64" s="7" t="n">
        <v>15</v>
      </c>
      <c r="F64" s="7" t="n">
        <v>0</v>
      </c>
      <c r="G64" s="7" t="n">
        <v>0</v>
      </c>
      <c r="H64" s="7" t="n">
        <v>20</v>
      </c>
    </row>
    <row r="65" customFormat="false" ht="15" hidden="false" customHeight="false" outlineLevel="0" collapsed="false">
      <c r="A65" s="1" t="s">
        <v>213</v>
      </c>
      <c r="B65" s="1" t="s">
        <v>52</v>
      </c>
      <c r="C65" s="7" t="n">
        <v>130</v>
      </c>
      <c r="D65" s="7" t="n">
        <v>45</v>
      </c>
      <c r="E65" s="7" t="n">
        <v>45</v>
      </c>
      <c r="F65" s="7" t="n">
        <v>25</v>
      </c>
      <c r="G65" s="7" t="n">
        <v>135</v>
      </c>
      <c r="H65" s="7" t="n">
        <v>195</v>
      </c>
    </row>
    <row r="66" customFormat="false" ht="15" hidden="false" customHeight="false" outlineLevel="0" collapsed="false">
      <c r="A66" s="1" t="s">
        <v>213</v>
      </c>
      <c r="B66" s="1" t="s">
        <v>533</v>
      </c>
      <c r="C66" s="7" t="n">
        <v>125</v>
      </c>
      <c r="D66" s="7" t="n">
        <v>65</v>
      </c>
      <c r="E66" s="7" t="n">
        <v>100</v>
      </c>
      <c r="F66" s="7" t="n">
        <v>95</v>
      </c>
      <c r="G66" s="7" t="n">
        <v>35</v>
      </c>
      <c r="H66" s="7" t="n">
        <v>100</v>
      </c>
    </row>
    <row r="67" customFormat="false" ht="15" hidden="false" customHeight="false" outlineLevel="0" collapsed="false">
      <c r="A67" s="1" t="s">
        <v>213</v>
      </c>
      <c r="B67" s="1" t="s">
        <v>217</v>
      </c>
      <c r="C67" s="7" t="n">
        <v>5</v>
      </c>
      <c r="D67" s="7" t="s">
        <v>33</v>
      </c>
      <c r="E67" s="7" t="n">
        <v>5</v>
      </c>
      <c r="F67" s="7" t="n">
        <v>5</v>
      </c>
      <c r="G67" s="7" t="s">
        <v>33</v>
      </c>
      <c r="H67" s="7" t="n">
        <v>10</v>
      </c>
    </row>
    <row r="68" customFormat="false" ht="15" hidden="false" customHeight="false" outlineLevel="0" collapsed="false">
      <c r="A68" s="1" t="s">
        <v>213</v>
      </c>
      <c r="B68" s="1" t="s">
        <v>363</v>
      </c>
      <c r="C68" s="7" t="n">
        <v>45</v>
      </c>
      <c r="D68" s="7" t="n">
        <v>15</v>
      </c>
      <c r="E68" s="7" t="n">
        <v>40</v>
      </c>
      <c r="F68" s="7" t="n">
        <v>30</v>
      </c>
      <c r="G68" s="7" t="n">
        <v>35</v>
      </c>
      <c r="H68" s="7" t="n">
        <v>30</v>
      </c>
    </row>
    <row r="69" customFormat="false" ht="15" hidden="false" customHeight="false" outlineLevel="0" collapsed="false">
      <c r="A69" s="1" t="s">
        <v>213</v>
      </c>
      <c r="B69" s="1" t="s">
        <v>534</v>
      </c>
      <c r="C69" s="7" t="n">
        <v>5</v>
      </c>
      <c r="D69" s="7" t="s">
        <v>35</v>
      </c>
      <c r="E69" s="7" t="s">
        <v>35</v>
      </c>
      <c r="F69" s="7" t="s">
        <v>35</v>
      </c>
      <c r="G69" s="7" t="s">
        <v>35</v>
      </c>
      <c r="H69" s="7" t="s">
        <v>35</v>
      </c>
    </row>
    <row r="70" customFormat="false" ht="15" hidden="false" customHeight="false" outlineLevel="0" collapsed="false">
      <c r="A70" s="1" t="s">
        <v>213</v>
      </c>
      <c r="B70" s="1" t="s">
        <v>535</v>
      </c>
      <c r="C70" s="7" t="n">
        <v>50</v>
      </c>
      <c r="D70" s="7" t="n">
        <v>75</v>
      </c>
      <c r="E70" s="7" t="n">
        <v>65</v>
      </c>
      <c r="F70" s="7" t="n">
        <v>25</v>
      </c>
      <c r="G70" s="7" t="n">
        <v>95</v>
      </c>
      <c r="H70" s="7" t="n">
        <v>75</v>
      </c>
    </row>
    <row r="71" customFormat="false" ht="15" hidden="false" customHeight="false" outlineLevel="0" collapsed="false">
      <c r="A71" s="1" t="s">
        <v>213</v>
      </c>
      <c r="B71" s="1" t="s">
        <v>536</v>
      </c>
      <c r="C71" s="7" t="n">
        <v>0</v>
      </c>
      <c r="D71" s="7" t="n">
        <v>0</v>
      </c>
      <c r="E71" s="7" t="n">
        <v>0</v>
      </c>
      <c r="F71" s="7" t="n">
        <v>0</v>
      </c>
      <c r="G71" s="7" t="s">
        <v>33</v>
      </c>
      <c r="H71" s="7" t="s">
        <v>33</v>
      </c>
    </row>
    <row r="72" customFormat="false" ht="15" hidden="false" customHeight="false" outlineLevel="0" collapsed="false">
      <c r="A72" s="1" t="s">
        <v>213</v>
      </c>
      <c r="B72" s="1" t="s">
        <v>294</v>
      </c>
      <c r="C72" s="7" t="n">
        <v>15</v>
      </c>
      <c r="D72" s="7" t="n">
        <v>0</v>
      </c>
      <c r="E72" s="7" t="n">
        <v>0</v>
      </c>
      <c r="F72" s="7" t="n">
        <v>0</v>
      </c>
      <c r="G72" s="7" t="n">
        <v>0</v>
      </c>
      <c r="H72" s="7" t="n">
        <v>0</v>
      </c>
    </row>
    <row r="73" customFormat="false" ht="15" hidden="false" customHeight="false" outlineLevel="0" collapsed="false">
      <c r="A73" s="1" t="s">
        <v>213</v>
      </c>
      <c r="B73" s="1" t="s">
        <v>537</v>
      </c>
      <c r="C73" s="7" t="s">
        <v>35</v>
      </c>
      <c r="D73" s="7" t="s">
        <v>35</v>
      </c>
      <c r="E73" s="7" t="s">
        <v>35</v>
      </c>
      <c r="F73" s="7" t="s">
        <v>35</v>
      </c>
      <c r="G73" s="7" t="n">
        <v>10</v>
      </c>
      <c r="H73" s="7" t="n">
        <v>0</v>
      </c>
    </row>
    <row r="74" customFormat="false" ht="15" hidden="false" customHeight="false" outlineLevel="0" collapsed="false">
      <c r="A74" s="1" t="s">
        <v>213</v>
      </c>
      <c r="B74" s="1" t="s">
        <v>538</v>
      </c>
      <c r="C74" s="7" t="s">
        <v>35</v>
      </c>
      <c r="D74" s="7" t="s">
        <v>35</v>
      </c>
      <c r="E74" s="7" t="s">
        <v>35</v>
      </c>
      <c r="F74" s="7" t="s">
        <v>35</v>
      </c>
      <c r="G74" s="7" t="n">
        <v>20</v>
      </c>
      <c r="H74" s="7" t="n">
        <v>0</v>
      </c>
    </row>
    <row r="75" customFormat="false" ht="15" hidden="false" customHeight="false" outlineLevel="0" collapsed="false">
      <c r="A75" s="1" t="s">
        <v>213</v>
      </c>
      <c r="B75" s="1" t="s">
        <v>506</v>
      </c>
      <c r="C75" s="7" t="n">
        <v>60</v>
      </c>
      <c r="D75" s="7" t="n">
        <v>30</v>
      </c>
      <c r="E75" s="7" t="n">
        <v>65</v>
      </c>
      <c r="F75" s="7" t="n">
        <v>75</v>
      </c>
      <c r="G75" s="7" t="n">
        <v>85</v>
      </c>
      <c r="H75" s="7" t="n">
        <v>95</v>
      </c>
    </row>
    <row r="76" customFormat="false" ht="15" hidden="false" customHeight="false" outlineLevel="0" collapsed="false">
      <c r="A76" s="1" t="s">
        <v>213</v>
      </c>
      <c r="B76" s="1" t="s">
        <v>515</v>
      </c>
      <c r="C76" s="7" t="n">
        <v>0</v>
      </c>
      <c r="D76" s="7" t="n">
        <v>0</v>
      </c>
      <c r="E76" s="7" t="n">
        <v>0</v>
      </c>
      <c r="F76" s="7" t="n">
        <v>5</v>
      </c>
      <c r="G76" s="7" t="n">
        <v>0</v>
      </c>
      <c r="H76" s="7" t="n">
        <v>10</v>
      </c>
    </row>
    <row r="77" customFormat="false" ht="15" hidden="false" customHeight="false" outlineLevel="0" collapsed="false">
      <c r="A77" s="1" t="s">
        <v>213</v>
      </c>
      <c r="B77" s="1" t="s">
        <v>231</v>
      </c>
      <c r="C77" s="7" t="n">
        <v>105</v>
      </c>
      <c r="D77" s="7" t="n">
        <v>55</v>
      </c>
      <c r="E77" s="7" t="n">
        <v>35</v>
      </c>
      <c r="F77" s="7" t="n">
        <v>35</v>
      </c>
      <c r="G77" s="7" t="n">
        <v>30</v>
      </c>
      <c r="H77" s="7" t="n">
        <v>35</v>
      </c>
    </row>
    <row r="78" customFormat="false" ht="15" hidden="false" customHeight="false" outlineLevel="0" collapsed="false">
      <c r="A78" s="1" t="s">
        <v>213</v>
      </c>
      <c r="B78" s="1" t="s">
        <v>158</v>
      </c>
      <c r="C78" s="7" t="n">
        <v>10</v>
      </c>
      <c r="D78" s="7" t="n">
        <v>5</v>
      </c>
      <c r="E78" s="7" t="n">
        <v>5</v>
      </c>
      <c r="F78" s="7" t="n">
        <v>5</v>
      </c>
      <c r="G78" s="7" t="n">
        <v>20</v>
      </c>
      <c r="H78" s="7" t="n">
        <v>30</v>
      </c>
    </row>
    <row r="79" customFormat="false" ht="15" hidden="false" customHeight="false" outlineLevel="0" collapsed="false">
      <c r="A79" s="1" t="s">
        <v>213</v>
      </c>
      <c r="B79" s="1" t="s">
        <v>220</v>
      </c>
      <c r="C79" s="7" t="n">
        <v>335</v>
      </c>
      <c r="D79" s="7" t="n">
        <v>170</v>
      </c>
      <c r="E79" s="7" t="n">
        <v>350</v>
      </c>
      <c r="F79" s="7" t="n">
        <v>225</v>
      </c>
      <c r="G79" s="7" t="n">
        <v>385</v>
      </c>
      <c r="H79" s="7" t="n">
        <v>450</v>
      </c>
    </row>
    <row r="80" customFormat="false" ht="15" hidden="false" customHeight="false" outlineLevel="0" collapsed="false">
      <c r="A80" s="1" t="s">
        <v>213</v>
      </c>
      <c r="B80" s="1" t="s">
        <v>539</v>
      </c>
      <c r="C80" s="7" t="s">
        <v>35</v>
      </c>
      <c r="D80" s="7" t="s">
        <v>33</v>
      </c>
      <c r="E80" s="7" t="n">
        <v>35</v>
      </c>
      <c r="F80" s="7" t="n">
        <v>95</v>
      </c>
      <c r="G80" s="7" t="s">
        <v>35</v>
      </c>
      <c r="H80" s="7" t="s">
        <v>35</v>
      </c>
    </row>
    <row r="81" customFormat="false" ht="15" hidden="false" customHeight="false" outlineLevel="0" collapsed="false">
      <c r="A81" s="1" t="s">
        <v>213</v>
      </c>
      <c r="B81" s="1" t="s">
        <v>517</v>
      </c>
      <c r="C81" s="7" t="n">
        <v>265</v>
      </c>
      <c r="D81" s="7" t="n">
        <v>50</v>
      </c>
      <c r="E81" s="7" t="n">
        <v>150</v>
      </c>
      <c r="F81" s="7" t="n">
        <v>100</v>
      </c>
      <c r="G81" s="7" t="n">
        <v>95</v>
      </c>
      <c r="H81" s="7" t="n">
        <v>150</v>
      </c>
    </row>
    <row r="82" customFormat="false" ht="15" hidden="false" customHeight="false" outlineLevel="0" collapsed="false">
      <c r="A82" s="1" t="s">
        <v>213</v>
      </c>
      <c r="B82" s="1" t="s">
        <v>518</v>
      </c>
      <c r="C82" s="7" t="n">
        <v>15</v>
      </c>
      <c r="D82" s="7" t="n">
        <v>0</v>
      </c>
      <c r="E82" s="7" t="n">
        <v>0</v>
      </c>
      <c r="F82" s="7" t="n">
        <v>10</v>
      </c>
      <c r="G82" s="7" t="s">
        <v>33</v>
      </c>
      <c r="H82" s="7" t="n">
        <v>20</v>
      </c>
    </row>
    <row r="83" customFormat="false" ht="15" hidden="false" customHeight="false" outlineLevel="0" collapsed="false">
      <c r="A83" s="1" t="s">
        <v>213</v>
      </c>
      <c r="B83" s="1" t="s">
        <v>520</v>
      </c>
      <c r="C83" s="7" t="n">
        <v>205</v>
      </c>
      <c r="D83" s="7" t="n">
        <v>230</v>
      </c>
      <c r="E83" s="7" t="n">
        <v>240</v>
      </c>
      <c r="F83" s="7" t="n">
        <v>155</v>
      </c>
      <c r="G83" s="7" t="n">
        <v>150</v>
      </c>
      <c r="H83" s="7" t="n">
        <v>165</v>
      </c>
    </row>
    <row r="84" customFormat="false" ht="15" hidden="false" customHeight="false" outlineLevel="0" collapsed="false">
      <c r="A84" s="1" t="s">
        <v>213</v>
      </c>
      <c r="B84" s="1" t="s">
        <v>522</v>
      </c>
      <c r="C84" s="7" t="n">
        <v>35</v>
      </c>
      <c r="D84" s="7" t="n">
        <v>20</v>
      </c>
      <c r="E84" s="7" t="n">
        <v>40</v>
      </c>
      <c r="F84" s="7" t="n">
        <v>55</v>
      </c>
      <c r="G84" s="7" t="n">
        <v>10</v>
      </c>
      <c r="H84" s="7" t="n">
        <v>20</v>
      </c>
    </row>
    <row r="85" customFormat="false" ht="15" hidden="false" customHeight="false" outlineLevel="0" collapsed="false">
      <c r="A85" s="1" t="s">
        <v>213</v>
      </c>
      <c r="B85" s="1" t="s">
        <v>540</v>
      </c>
      <c r="C85" s="7" t="n">
        <v>10</v>
      </c>
      <c r="D85" s="7" t="n">
        <v>0</v>
      </c>
      <c r="E85" s="7" t="n">
        <v>10</v>
      </c>
      <c r="F85" s="7" t="n">
        <v>5</v>
      </c>
      <c r="G85" s="7" t="n">
        <v>35</v>
      </c>
      <c r="H85" s="7" t="n">
        <v>25</v>
      </c>
    </row>
    <row r="86" customFormat="false" ht="15" hidden="false" customHeight="false" outlineLevel="0" collapsed="false">
      <c r="A86" s="1" t="s">
        <v>213</v>
      </c>
      <c r="B86" s="1" t="s">
        <v>223</v>
      </c>
      <c r="C86" s="7" t="n">
        <v>75</v>
      </c>
      <c r="D86" s="7" t="n">
        <v>55</v>
      </c>
      <c r="E86" s="7" t="n">
        <v>145</v>
      </c>
      <c r="F86" s="7" t="n">
        <v>65</v>
      </c>
      <c r="G86" s="7" t="n">
        <v>45</v>
      </c>
      <c r="H86" s="7" t="n">
        <v>150</v>
      </c>
    </row>
    <row r="87" customFormat="false" ht="15" hidden="false" customHeight="false" outlineLevel="0" collapsed="false">
      <c r="A87" s="1" t="s">
        <v>213</v>
      </c>
      <c r="B87" s="1" t="s">
        <v>239</v>
      </c>
      <c r="C87" s="7" t="n">
        <v>250</v>
      </c>
      <c r="D87" s="7" t="n">
        <v>55</v>
      </c>
      <c r="E87" s="7" t="n">
        <v>200</v>
      </c>
      <c r="F87" s="7" t="n">
        <v>180</v>
      </c>
      <c r="G87" s="7" t="n">
        <v>280</v>
      </c>
      <c r="H87" s="7" t="n">
        <v>235</v>
      </c>
    </row>
    <row r="88" customFormat="false" ht="15" hidden="false" customHeight="false" outlineLevel="0" collapsed="false">
      <c r="A88" s="1" t="s">
        <v>213</v>
      </c>
      <c r="B88" s="1" t="s">
        <v>526</v>
      </c>
      <c r="C88" s="7" t="n">
        <v>25</v>
      </c>
      <c r="D88" s="7" t="n">
        <v>0</v>
      </c>
      <c r="E88" s="7" t="n">
        <v>10</v>
      </c>
      <c r="F88" s="7" t="n">
        <v>5</v>
      </c>
      <c r="G88" s="7" t="n">
        <v>10</v>
      </c>
      <c r="H88" s="7" t="s">
        <v>35</v>
      </c>
    </row>
    <row r="89" customFormat="false" ht="15" hidden="false" customHeight="false" outlineLevel="0" collapsed="false">
      <c r="A89" s="1" t="s">
        <v>213</v>
      </c>
      <c r="B89" s="1" t="s">
        <v>541</v>
      </c>
      <c r="C89" s="7" t="n">
        <v>20</v>
      </c>
      <c r="D89" s="7" t="n">
        <v>5</v>
      </c>
      <c r="E89" s="7" t="n">
        <v>25</v>
      </c>
      <c r="F89" s="7" t="n">
        <v>0</v>
      </c>
      <c r="G89" s="7" t="n">
        <v>30</v>
      </c>
      <c r="H89" s="7" t="n">
        <v>35</v>
      </c>
    </row>
    <row r="90" customFormat="false" ht="15" hidden="false" customHeight="false" outlineLevel="0" collapsed="false">
      <c r="A90" s="1" t="s">
        <v>213</v>
      </c>
      <c r="B90" s="1" t="s">
        <v>542</v>
      </c>
      <c r="C90" s="7" t="n">
        <v>10</v>
      </c>
      <c r="D90" s="7" t="n">
        <v>25</v>
      </c>
      <c r="E90" s="7" t="n">
        <v>5</v>
      </c>
      <c r="F90" s="7" t="n">
        <v>5</v>
      </c>
      <c r="G90" s="7" t="n">
        <v>10</v>
      </c>
      <c r="H90" s="7" t="n">
        <v>20</v>
      </c>
    </row>
    <row r="91" customFormat="false" ht="15" hidden="false" customHeight="false" outlineLevel="0" collapsed="false">
      <c r="A91" s="1" t="s">
        <v>213</v>
      </c>
      <c r="B91" s="1" t="s">
        <v>543</v>
      </c>
      <c r="C91" s="7" t="n">
        <v>0</v>
      </c>
      <c r="D91" s="7" t="n">
        <v>0</v>
      </c>
      <c r="E91" s="7" t="n">
        <v>0</v>
      </c>
      <c r="F91" s="7" t="n">
        <v>0</v>
      </c>
      <c r="G91" s="7" t="n">
        <v>0</v>
      </c>
      <c r="H91" s="7" t="s">
        <v>33</v>
      </c>
    </row>
    <row r="92" customFormat="false" ht="15" hidden="false" customHeight="false" outlineLevel="0" collapsed="false">
      <c r="A92" s="1" t="s">
        <v>213</v>
      </c>
      <c r="B92" s="1" t="s">
        <v>544</v>
      </c>
      <c r="C92" s="7" t="n">
        <v>30</v>
      </c>
      <c r="D92" s="7" t="n">
        <v>10</v>
      </c>
      <c r="E92" s="7" t="n">
        <v>35</v>
      </c>
      <c r="F92" s="7" t="s">
        <v>33</v>
      </c>
      <c r="G92" s="7" t="n">
        <v>80</v>
      </c>
      <c r="H92" s="7" t="n">
        <v>35</v>
      </c>
    </row>
    <row r="93" customFormat="false" ht="15" hidden="false" customHeight="false" outlineLevel="0" collapsed="false">
      <c r="A93" s="1" t="s">
        <v>213</v>
      </c>
      <c r="B93" s="1" t="s">
        <v>527</v>
      </c>
      <c r="C93" s="7" t="n">
        <v>55</v>
      </c>
      <c r="D93" s="7" t="n">
        <v>60</v>
      </c>
      <c r="E93" s="7" t="n">
        <v>80</v>
      </c>
      <c r="F93" s="7" t="n">
        <v>35</v>
      </c>
      <c r="G93" s="7" t="n">
        <v>35</v>
      </c>
      <c r="H93" s="7" t="n">
        <v>40</v>
      </c>
    </row>
    <row r="94" customFormat="false" ht="15" hidden="false" customHeight="false" outlineLevel="0" collapsed="false">
      <c r="A94" s="1" t="s">
        <v>213</v>
      </c>
      <c r="B94" s="1" t="s">
        <v>545</v>
      </c>
      <c r="C94" s="7" t="n">
        <v>25</v>
      </c>
      <c r="D94" s="7" t="n">
        <v>5</v>
      </c>
      <c r="E94" s="7" t="n">
        <v>10</v>
      </c>
      <c r="F94" s="7" t="n">
        <v>10</v>
      </c>
      <c r="G94" s="7" t="n">
        <v>0</v>
      </c>
      <c r="H94" s="7" t="n">
        <v>5</v>
      </c>
    </row>
    <row r="95" customFormat="false" ht="15" hidden="false" customHeight="false" outlineLevel="0" collapsed="false">
      <c r="A95" s="1" t="s">
        <v>213</v>
      </c>
      <c r="B95" s="1" t="s">
        <v>546</v>
      </c>
      <c r="C95" s="7" t="n">
        <v>105</v>
      </c>
      <c r="D95" s="7" t="n">
        <v>65</v>
      </c>
      <c r="E95" s="7" t="n">
        <v>115</v>
      </c>
      <c r="F95" s="7" t="n">
        <v>100</v>
      </c>
      <c r="G95" s="7" t="n">
        <v>95</v>
      </c>
      <c r="H95" s="7" t="n">
        <v>85</v>
      </c>
    </row>
    <row r="96" customFormat="false" ht="15" hidden="false" customHeight="false" outlineLevel="0" collapsed="false">
      <c r="A96" s="1" t="s">
        <v>213</v>
      </c>
      <c r="B96" s="1" t="s">
        <v>69</v>
      </c>
      <c r="C96" s="7" t="n">
        <v>0</v>
      </c>
      <c r="D96" s="7" t="n">
        <v>15</v>
      </c>
      <c r="E96" s="7" t="s">
        <v>33</v>
      </c>
      <c r="F96" s="7" t="s">
        <v>33</v>
      </c>
      <c r="G96" s="7" t="n">
        <v>40</v>
      </c>
      <c r="H96" s="7" t="n">
        <v>60</v>
      </c>
    </row>
    <row r="97" customFormat="false" ht="15" hidden="false" customHeight="false" outlineLevel="0" collapsed="false">
      <c r="A97" s="1" t="s">
        <v>213</v>
      </c>
      <c r="B97" s="1" t="s">
        <v>547</v>
      </c>
      <c r="C97" s="7" t="s">
        <v>33</v>
      </c>
      <c r="D97" s="7" t="n">
        <v>0</v>
      </c>
      <c r="E97" s="7" t="n">
        <v>5</v>
      </c>
      <c r="F97" s="7" t="n">
        <v>0</v>
      </c>
      <c r="G97" s="7" t="n">
        <v>20</v>
      </c>
      <c r="H97" s="7" t="n">
        <v>0</v>
      </c>
    </row>
    <row r="98" customFormat="false" ht="15" hidden="false" customHeight="false" outlineLevel="0" collapsed="false">
      <c r="A98" s="1" t="s">
        <v>213</v>
      </c>
      <c r="B98" s="1" t="s">
        <v>71</v>
      </c>
      <c r="C98" s="7" t="n">
        <v>20</v>
      </c>
      <c r="D98" s="7" t="n">
        <v>15</v>
      </c>
      <c r="E98" s="7" t="n">
        <v>55</v>
      </c>
      <c r="F98" s="7" t="s">
        <v>33</v>
      </c>
      <c r="G98" s="7" t="n">
        <v>40</v>
      </c>
      <c r="H98" s="7" t="n">
        <v>15</v>
      </c>
    </row>
    <row r="99" customFormat="false" ht="15" hidden="false" customHeight="false" outlineLevel="0" collapsed="false">
      <c r="A99" s="1" t="s">
        <v>213</v>
      </c>
      <c r="B99" s="1" t="s">
        <v>548</v>
      </c>
      <c r="C99" s="7" t="s">
        <v>33</v>
      </c>
      <c r="D99" s="7" t="n">
        <v>0</v>
      </c>
      <c r="E99" s="7" t="n">
        <v>0</v>
      </c>
      <c r="F99" s="7" t="n">
        <v>10</v>
      </c>
      <c r="G99" s="7" t="n">
        <v>0</v>
      </c>
      <c r="H99" s="7" t="n">
        <v>0</v>
      </c>
    </row>
    <row r="100" customFormat="false" ht="15" hidden="false" customHeight="false" outlineLevel="0" collapsed="false">
      <c r="A100" s="1" t="s">
        <v>213</v>
      </c>
      <c r="B100" s="1" t="s">
        <v>549</v>
      </c>
      <c r="C100" s="7" t="s">
        <v>35</v>
      </c>
      <c r="D100" s="7" t="n">
        <v>0</v>
      </c>
      <c r="E100" s="7" t="n">
        <v>40</v>
      </c>
      <c r="F100" s="7" t="n">
        <v>10</v>
      </c>
      <c r="G100" s="7" t="n">
        <v>10</v>
      </c>
      <c r="H100" s="7" t="n">
        <v>25</v>
      </c>
    </row>
    <row r="101" customFormat="false" ht="15" hidden="false" customHeight="false" outlineLevel="0" collapsed="false">
      <c r="A101" s="1" t="s">
        <v>213</v>
      </c>
      <c r="B101" s="1" t="s">
        <v>169</v>
      </c>
      <c r="C101" s="7" t="n">
        <v>5</v>
      </c>
      <c r="D101" s="7" t="s">
        <v>33</v>
      </c>
      <c r="E101" s="7" t="n">
        <v>0</v>
      </c>
      <c r="F101" s="7" t="s">
        <v>33</v>
      </c>
      <c r="G101" s="7" t="n">
        <v>40</v>
      </c>
      <c r="H101" s="7" t="n">
        <v>90</v>
      </c>
    </row>
    <row r="102" customFormat="false" ht="15" hidden="false" customHeight="false" outlineLevel="0" collapsed="false">
      <c r="A102" s="1" t="s">
        <v>213</v>
      </c>
      <c r="B102" s="1" t="s">
        <v>285</v>
      </c>
      <c r="C102" s="7" t="n">
        <v>45</v>
      </c>
      <c r="D102" s="7" t="n">
        <v>35</v>
      </c>
      <c r="E102" s="7" t="n">
        <v>10</v>
      </c>
      <c r="F102" s="7" t="n">
        <v>40</v>
      </c>
      <c r="G102" s="7" t="n">
        <v>10</v>
      </c>
      <c r="H102" s="7" t="n">
        <v>45</v>
      </c>
    </row>
    <row r="103" customFormat="false" ht="15" hidden="false" customHeight="false" outlineLevel="0" collapsed="false">
      <c r="A103" s="1" t="s">
        <v>213</v>
      </c>
      <c r="B103" s="1" t="s">
        <v>550</v>
      </c>
      <c r="C103" s="7" t="n">
        <v>95</v>
      </c>
      <c r="D103" s="7" t="n">
        <v>70</v>
      </c>
      <c r="E103" s="7" t="n">
        <v>120</v>
      </c>
      <c r="F103" s="7" t="n">
        <v>85</v>
      </c>
      <c r="G103" s="7" t="n">
        <v>165</v>
      </c>
      <c r="H103" s="7" t="n">
        <v>125</v>
      </c>
    </row>
    <row r="104" customFormat="false" ht="15" hidden="false" customHeight="false" outlineLevel="0" collapsed="false">
      <c r="A104" s="1" t="s">
        <v>213</v>
      </c>
      <c r="B104" s="1" t="s">
        <v>204</v>
      </c>
      <c r="C104" s="7" t="n">
        <v>305</v>
      </c>
      <c r="D104" s="7" t="n">
        <v>85</v>
      </c>
      <c r="E104" s="7" t="n">
        <v>180</v>
      </c>
      <c r="F104" s="7" t="n">
        <v>170</v>
      </c>
      <c r="G104" s="7" t="n">
        <v>230</v>
      </c>
      <c r="H104" s="7" t="n">
        <v>150</v>
      </c>
    </row>
    <row r="105" customFormat="false" ht="15" hidden="false" customHeight="false" outlineLevel="0" collapsed="false">
      <c r="A105" s="1" t="s">
        <v>213</v>
      </c>
      <c r="B105" s="1" t="s">
        <v>551</v>
      </c>
      <c r="C105" s="7" t="n">
        <v>30</v>
      </c>
      <c r="D105" s="7" t="n">
        <v>10</v>
      </c>
      <c r="E105" s="7" t="n">
        <v>15</v>
      </c>
      <c r="F105" s="7" t="n">
        <v>20</v>
      </c>
      <c r="G105" s="7" t="n">
        <v>45</v>
      </c>
      <c r="H105" s="7" t="n">
        <v>20</v>
      </c>
    </row>
    <row r="106" customFormat="false" ht="15" hidden="false" customHeight="false" outlineLevel="0" collapsed="false">
      <c r="A106" s="1" t="s">
        <v>213</v>
      </c>
      <c r="B106" s="1" t="s">
        <v>552</v>
      </c>
      <c r="C106" s="7" t="n">
        <v>0</v>
      </c>
      <c r="D106" s="7" t="n">
        <v>0</v>
      </c>
      <c r="E106" s="7" t="n">
        <v>0</v>
      </c>
      <c r="F106" s="7" t="n">
        <v>0</v>
      </c>
      <c r="G106" s="7" t="n">
        <v>0</v>
      </c>
      <c r="H106" s="7" t="n">
        <v>10</v>
      </c>
    </row>
    <row r="107" customFormat="false" ht="15" hidden="false" customHeight="false" outlineLevel="0" collapsed="false">
      <c r="A107" s="1" t="s">
        <v>213</v>
      </c>
      <c r="B107" s="1" t="s">
        <v>553</v>
      </c>
      <c r="C107" s="7" t="n">
        <v>0</v>
      </c>
      <c r="D107" s="7" t="n">
        <v>0</v>
      </c>
      <c r="E107" s="7" t="n">
        <v>0</v>
      </c>
      <c r="F107" s="7" t="n">
        <v>0</v>
      </c>
      <c r="G107" s="7" t="n">
        <v>10</v>
      </c>
      <c r="H107" s="7" t="n">
        <v>0</v>
      </c>
    </row>
    <row r="108" customFormat="false" ht="15" hidden="false" customHeight="false" outlineLevel="0" collapsed="false">
      <c r="A108" s="1" t="s">
        <v>213</v>
      </c>
      <c r="B108" s="1" t="s">
        <v>229</v>
      </c>
      <c r="C108" s="7" t="n">
        <v>25</v>
      </c>
      <c r="D108" s="7" t="n">
        <v>5</v>
      </c>
      <c r="E108" s="7" t="n">
        <v>0</v>
      </c>
      <c r="F108" s="7" t="n">
        <v>20</v>
      </c>
      <c r="G108" s="7" t="n">
        <v>80</v>
      </c>
      <c r="H108" s="7" t="n">
        <v>45</v>
      </c>
    </row>
    <row r="109" customFormat="false" ht="15" hidden="false" customHeight="false" outlineLevel="0" collapsed="false">
      <c r="A109" s="1" t="s">
        <v>213</v>
      </c>
      <c r="B109" s="1" t="s">
        <v>554</v>
      </c>
      <c r="C109" s="7" t="n">
        <v>5</v>
      </c>
      <c r="D109" s="7" t="n">
        <v>0</v>
      </c>
      <c r="E109" s="7" t="n">
        <v>10</v>
      </c>
      <c r="F109" s="7" t="n">
        <v>10</v>
      </c>
      <c r="G109" s="7" t="n">
        <v>40</v>
      </c>
      <c r="H109" s="7" t="n">
        <v>30</v>
      </c>
    </row>
    <row r="110" customFormat="false" ht="15" hidden="false" customHeight="false" outlineLevel="0" collapsed="false">
      <c r="A110" s="1" t="s">
        <v>213</v>
      </c>
      <c r="B110" s="1" t="s">
        <v>555</v>
      </c>
      <c r="C110" s="7" t="n">
        <v>5</v>
      </c>
      <c r="D110" s="7" t="n">
        <v>0</v>
      </c>
      <c r="E110" s="7" t="s">
        <v>33</v>
      </c>
      <c r="F110" s="7" t="s">
        <v>33</v>
      </c>
      <c r="G110" s="7" t="n">
        <v>0</v>
      </c>
      <c r="H110" s="7" t="n">
        <v>10</v>
      </c>
    </row>
    <row r="111" customFormat="false" ht="15" hidden="false" customHeight="false" outlineLevel="0" collapsed="false">
      <c r="A111" s="1" t="s">
        <v>213</v>
      </c>
      <c r="B111" s="1" t="s">
        <v>556</v>
      </c>
      <c r="C111" s="7" t="n">
        <v>10</v>
      </c>
      <c r="D111" s="7" t="n">
        <v>0</v>
      </c>
      <c r="E111" s="7" t="s">
        <v>35</v>
      </c>
      <c r="F111" s="7" t="s">
        <v>35</v>
      </c>
      <c r="G111" s="7" t="s">
        <v>35</v>
      </c>
      <c r="H111" s="7" t="s">
        <v>35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45 A1"/>
    </sheetView>
  </sheetViews>
  <sheetFormatPr defaultColWidth="11.078125" defaultRowHeight="15" zeroHeight="false" outlineLevelRow="0" outlineLevelCol="0"/>
  <cols>
    <col collapsed="false" customWidth="true" hidden="false" outlineLevel="0" max="1" min="1" style="1" width="6.69"/>
    <col collapsed="false" customWidth="true" hidden="false" outlineLevel="0" max="2" min="2" style="1" width="27.69"/>
    <col collapsed="false" customWidth="true" hidden="false" outlineLevel="0" max="3" min="3" style="1" width="5.69"/>
    <col collapsed="false" customWidth="true" hidden="false" outlineLevel="0" max="4" min="4" style="1" width="11.69"/>
    <col collapsed="false" customWidth="true" hidden="false" outlineLevel="0" max="5" min="5" style="1" width="12.69"/>
    <col collapsed="false" customWidth="true" hidden="false" outlineLevel="0" max="7" min="6" style="1" width="11.69"/>
    <col collapsed="false" customWidth="true" hidden="false" outlineLevel="0" max="8" min="8" style="1" width="13.69"/>
    <col collapsed="false" customWidth="true" hidden="false" outlineLevel="0" max="9" min="9" style="1" width="11.69"/>
    <col collapsed="false" customWidth="true" hidden="false" outlineLevel="0" max="10" min="10" style="1" width="21.69"/>
  </cols>
  <sheetData>
    <row r="1" customFormat="false" ht="30" hidden="false" customHeight="true" outlineLevel="0" collapsed="false">
      <c r="A1" s="2" t="s">
        <v>557</v>
      </c>
    </row>
    <row r="2" customFormat="false" ht="15" hidden="false" customHeight="false" outlineLevel="0" collapsed="false">
      <c r="A2" s="1" t="s">
        <v>7</v>
      </c>
    </row>
    <row r="3" customFormat="false" ht="15" hidden="false" customHeight="false" outlineLevel="0" collapsed="false">
      <c r="A3" s="1" t="s">
        <v>558</v>
      </c>
    </row>
    <row r="4" customFormat="false" ht="15" hidden="false" customHeight="false" outlineLevel="0" collapsed="false">
      <c r="A4" s="6" t="s">
        <v>206</v>
      </c>
      <c r="B4" s="6" t="s">
        <v>559</v>
      </c>
      <c r="C4" s="6" t="s">
        <v>560</v>
      </c>
      <c r="D4" s="6" t="s">
        <v>561</v>
      </c>
      <c r="E4" s="6" t="s">
        <v>562</v>
      </c>
      <c r="F4" s="6" t="s">
        <v>563</v>
      </c>
      <c r="G4" s="6" t="s">
        <v>564</v>
      </c>
      <c r="H4" s="6" t="s">
        <v>565</v>
      </c>
      <c r="I4" s="6" t="s">
        <v>566</v>
      </c>
      <c r="J4" s="6" t="s">
        <v>567</v>
      </c>
    </row>
    <row r="5" customFormat="false" ht="15" hidden="false" customHeight="false" outlineLevel="0" collapsed="false">
      <c r="A5" s="1" t="s">
        <v>242</v>
      </c>
      <c r="B5" s="1" t="s">
        <v>568</v>
      </c>
      <c r="C5" s="1" t="n">
        <v>2024</v>
      </c>
      <c r="D5" s="8" t="n">
        <v>0.022</v>
      </c>
      <c r="E5" s="8" t="n">
        <v>0.313</v>
      </c>
      <c r="F5" s="8" t="n">
        <v>0.254</v>
      </c>
      <c r="G5" s="8" t="n">
        <v>0.216</v>
      </c>
      <c r="H5" s="8" t="n">
        <v>0.034</v>
      </c>
      <c r="I5" s="8" t="n">
        <v>0.026</v>
      </c>
      <c r="J5" s="8" t="n">
        <v>0.134</v>
      </c>
    </row>
    <row r="6" customFormat="false" ht="15" hidden="false" customHeight="false" outlineLevel="0" collapsed="false">
      <c r="A6" s="1" t="s">
        <v>242</v>
      </c>
      <c r="B6" s="1" t="s">
        <v>568</v>
      </c>
      <c r="C6" s="1" t="n">
        <v>2023</v>
      </c>
      <c r="D6" s="8" t="n">
        <v>0.017</v>
      </c>
      <c r="E6" s="8" t="n">
        <v>0.328</v>
      </c>
      <c r="F6" s="8" t="n">
        <v>0.224</v>
      </c>
      <c r="G6" s="8" t="n">
        <v>0.344</v>
      </c>
      <c r="H6" s="8" t="n">
        <v>0.017</v>
      </c>
      <c r="I6" s="8" t="n">
        <v>0.071</v>
      </c>
      <c r="J6" s="8" t="n">
        <v>0</v>
      </c>
    </row>
    <row r="7" customFormat="false" ht="15" hidden="false" customHeight="false" outlineLevel="0" collapsed="false">
      <c r="A7" s="1" t="s">
        <v>242</v>
      </c>
      <c r="B7" s="1" t="s">
        <v>568</v>
      </c>
      <c r="C7" s="1" t="n">
        <v>2022</v>
      </c>
      <c r="D7" s="8" t="n">
        <v>0.005</v>
      </c>
      <c r="E7" s="8" t="n">
        <v>0.291</v>
      </c>
      <c r="F7" s="8" t="n">
        <v>0.092</v>
      </c>
      <c r="G7" s="8" t="n">
        <v>0.184</v>
      </c>
      <c r="H7" s="8" t="n">
        <v>0.219</v>
      </c>
      <c r="I7" s="8" t="n">
        <v>0</v>
      </c>
      <c r="J7" s="8" t="n">
        <v>0.209</v>
      </c>
    </row>
    <row r="8" customFormat="false" ht="15" hidden="false" customHeight="false" outlineLevel="0" collapsed="false">
      <c r="A8" s="1" t="s">
        <v>242</v>
      </c>
      <c r="B8" s="1" t="s">
        <v>568</v>
      </c>
      <c r="C8" s="1" t="n">
        <v>2021</v>
      </c>
      <c r="D8" s="8" t="n">
        <v>0.097</v>
      </c>
      <c r="E8" s="8" t="n">
        <v>0.398</v>
      </c>
      <c r="F8" s="8" t="n">
        <v>0.283</v>
      </c>
      <c r="G8" s="8" t="n">
        <v>0.168</v>
      </c>
      <c r="H8" s="8" t="n">
        <v>0.044</v>
      </c>
      <c r="I8" s="8" t="n">
        <v>0</v>
      </c>
      <c r="J8" s="8" t="n">
        <v>0.009</v>
      </c>
    </row>
    <row r="9" customFormat="false" ht="15" hidden="false" customHeight="false" outlineLevel="0" collapsed="false">
      <c r="A9" s="1" t="s">
        <v>242</v>
      </c>
      <c r="B9" s="1" t="s">
        <v>568</v>
      </c>
      <c r="C9" s="1" t="n">
        <v>2020</v>
      </c>
      <c r="D9" s="8" t="n">
        <v>0</v>
      </c>
      <c r="E9" s="8" t="n">
        <v>0.048</v>
      </c>
      <c r="F9" s="8" t="n">
        <v>0.083</v>
      </c>
      <c r="G9" s="8" t="n">
        <v>0.091</v>
      </c>
      <c r="H9" s="8" t="n">
        <v>0.086</v>
      </c>
      <c r="I9" s="8" t="n">
        <v>0.384</v>
      </c>
      <c r="J9" s="8" t="n">
        <v>0.308</v>
      </c>
    </row>
    <row r="10" customFormat="false" ht="15" hidden="false" customHeight="false" outlineLevel="0" collapsed="false">
      <c r="A10" s="1" t="s">
        <v>242</v>
      </c>
      <c r="B10" s="1" t="s">
        <v>568</v>
      </c>
      <c r="C10" s="1" t="n">
        <v>2019</v>
      </c>
      <c r="D10" s="8" t="n">
        <v>0.012</v>
      </c>
      <c r="E10" s="8" t="n">
        <v>0.074</v>
      </c>
      <c r="F10" s="8" t="n">
        <v>0.07</v>
      </c>
      <c r="G10" s="8" t="n">
        <v>0.106</v>
      </c>
      <c r="H10" s="8" t="n">
        <v>0.043</v>
      </c>
      <c r="I10" s="8" t="n">
        <v>0.331</v>
      </c>
      <c r="J10" s="8" t="n">
        <v>0.365</v>
      </c>
    </row>
    <row r="11" customFormat="false" ht="15" hidden="false" customHeight="false" outlineLevel="0" collapsed="false">
      <c r="A11" s="1" t="s">
        <v>244</v>
      </c>
      <c r="B11" s="1" t="s">
        <v>568</v>
      </c>
      <c r="C11" s="1" t="n">
        <v>2024</v>
      </c>
      <c r="D11" s="8" t="n">
        <v>0.011</v>
      </c>
      <c r="E11" s="8" t="n">
        <v>0.178</v>
      </c>
      <c r="F11" s="8" t="n">
        <v>0.111</v>
      </c>
      <c r="G11" s="8" t="n">
        <v>0.068</v>
      </c>
      <c r="H11" s="8" t="n">
        <v>0.415</v>
      </c>
      <c r="I11" s="8" t="n">
        <v>0.088</v>
      </c>
      <c r="J11" s="8" t="n">
        <v>0.13</v>
      </c>
    </row>
    <row r="12" customFormat="false" ht="15" hidden="false" customHeight="false" outlineLevel="0" collapsed="false">
      <c r="A12" s="1" t="s">
        <v>244</v>
      </c>
      <c r="B12" s="1" t="s">
        <v>568</v>
      </c>
      <c r="C12" s="1" t="n">
        <v>2023</v>
      </c>
      <c r="D12" s="8" t="n">
        <v>0.052</v>
      </c>
      <c r="E12" s="8" t="n">
        <v>0.334</v>
      </c>
      <c r="F12" s="8" t="n">
        <v>0.174</v>
      </c>
      <c r="G12" s="8" t="n">
        <v>0.165</v>
      </c>
      <c r="H12" s="8" t="n">
        <v>0.041</v>
      </c>
      <c r="I12" s="8" t="n">
        <v>0.087</v>
      </c>
      <c r="J12" s="8" t="n">
        <v>0.148</v>
      </c>
    </row>
    <row r="13" customFormat="false" ht="15" hidden="false" customHeight="false" outlineLevel="0" collapsed="false">
      <c r="A13" s="1" t="s">
        <v>244</v>
      </c>
      <c r="B13" s="1" t="s">
        <v>568</v>
      </c>
      <c r="C13" s="1" t="n">
        <v>2022</v>
      </c>
      <c r="D13" s="8" t="n">
        <v>0.019</v>
      </c>
      <c r="E13" s="8" t="n">
        <v>0.241</v>
      </c>
      <c r="F13" s="8" t="n">
        <v>0.223</v>
      </c>
      <c r="G13" s="8" t="n">
        <v>0.184</v>
      </c>
      <c r="H13" s="8" t="n">
        <v>0.02</v>
      </c>
      <c r="I13" s="8" t="n">
        <v>0.116</v>
      </c>
      <c r="J13" s="8" t="n">
        <v>0.197</v>
      </c>
    </row>
    <row r="14" customFormat="false" ht="15" hidden="false" customHeight="false" outlineLevel="0" collapsed="false">
      <c r="A14" s="1" t="s">
        <v>244</v>
      </c>
      <c r="B14" s="1" t="s">
        <v>568</v>
      </c>
      <c r="C14" s="1" t="n">
        <v>2021</v>
      </c>
      <c r="D14" s="8" t="n">
        <v>0.012</v>
      </c>
      <c r="E14" s="8" t="n">
        <v>0.281</v>
      </c>
      <c r="F14" s="8" t="n">
        <v>0.151</v>
      </c>
      <c r="G14" s="8" t="n">
        <v>0.176</v>
      </c>
      <c r="H14" s="8" t="n">
        <v>0.022</v>
      </c>
      <c r="I14" s="8" t="n">
        <v>0.081</v>
      </c>
      <c r="J14" s="8" t="n">
        <v>0.277</v>
      </c>
    </row>
    <row r="15" customFormat="false" ht="15" hidden="false" customHeight="false" outlineLevel="0" collapsed="false">
      <c r="A15" s="1" t="s">
        <v>244</v>
      </c>
      <c r="B15" s="1" t="s">
        <v>568</v>
      </c>
      <c r="C15" s="1" t="n">
        <v>2020</v>
      </c>
      <c r="D15" s="8" t="n">
        <v>0.111</v>
      </c>
      <c r="E15" s="8" t="n">
        <v>0.195</v>
      </c>
      <c r="F15" s="8" t="n">
        <v>0.091</v>
      </c>
      <c r="G15" s="8" t="n">
        <v>0.157</v>
      </c>
      <c r="H15" s="8" t="n">
        <v>0.147</v>
      </c>
      <c r="I15" s="8" t="n">
        <v>0.147</v>
      </c>
      <c r="J15" s="8" t="n">
        <v>0.153</v>
      </c>
    </row>
    <row r="16" customFormat="false" ht="15" hidden="false" customHeight="false" outlineLevel="0" collapsed="false">
      <c r="A16" s="1" t="s">
        <v>244</v>
      </c>
      <c r="B16" s="1" t="s">
        <v>568</v>
      </c>
      <c r="C16" s="1" t="n">
        <v>2019</v>
      </c>
      <c r="D16" s="8" t="n">
        <v>0.063</v>
      </c>
      <c r="E16" s="8" t="n">
        <v>0.103</v>
      </c>
      <c r="F16" s="8" t="n">
        <v>0.088</v>
      </c>
      <c r="G16" s="8" t="n">
        <v>0.069</v>
      </c>
      <c r="H16" s="8" t="n">
        <v>0.3</v>
      </c>
      <c r="I16" s="8" t="n">
        <v>0.137</v>
      </c>
      <c r="J16" s="8" t="n">
        <v>0.24</v>
      </c>
    </row>
    <row r="17" customFormat="false" ht="15" hidden="false" customHeight="false" outlineLevel="0" collapsed="false">
      <c r="A17" s="1" t="s">
        <v>244</v>
      </c>
      <c r="B17" s="1" t="s">
        <v>569</v>
      </c>
      <c r="C17" s="1" t="n">
        <v>2024</v>
      </c>
      <c r="D17" s="8" t="n">
        <v>0.044</v>
      </c>
      <c r="E17" s="8" t="n">
        <v>0.464</v>
      </c>
      <c r="F17" s="8" t="n">
        <v>0.255</v>
      </c>
      <c r="G17" s="8" t="n">
        <v>0.151</v>
      </c>
      <c r="H17" s="8" t="n">
        <v>0.022</v>
      </c>
      <c r="I17" s="8" t="n">
        <v>0.056</v>
      </c>
      <c r="J17" s="8" t="n">
        <v>0.008</v>
      </c>
    </row>
    <row r="18" customFormat="false" ht="15" hidden="false" customHeight="false" outlineLevel="0" collapsed="false">
      <c r="A18" s="1" t="s">
        <v>244</v>
      </c>
      <c r="B18" s="1" t="s">
        <v>569</v>
      </c>
      <c r="C18" s="1" t="n">
        <v>2023</v>
      </c>
      <c r="D18" s="8" t="n">
        <v>0.032</v>
      </c>
      <c r="E18" s="8" t="n">
        <v>0.471</v>
      </c>
      <c r="F18" s="8" t="n">
        <v>0.259</v>
      </c>
      <c r="G18" s="8" t="n">
        <v>0.177</v>
      </c>
      <c r="H18" s="8" t="n">
        <v>0.019</v>
      </c>
      <c r="I18" s="8" t="n">
        <v>0.038</v>
      </c>
      <c r="J18" s="8" t="n">
        <v>0.005</v>
      </c>
    </row>
    <row r="19" customFormat="false" ht="15" hidden="false" customHeight="false" outlineLevel="0" collapsed="false">
      <c r="A19" s="1" t="s">
        <v>244</v>
      </c>
      <c r="B19" s="1" t="s">
        <v>569</v>
      </c>
      <c r="C19" s="1" t="n">
        <v>2022</v>
      </c>
      <c r="D19" s="8" t="n">
        <v>0.042</v>
      </c>
      <c r="E19" s="8" t="n">
        <v>0.452</v>
      </c>
      <c r="F19" s="8" t="n">
        <v>0.259</v>
      </c>
      <c r="G19" s="8" t="n">
        <v>0.156</v>
      </c>
      <c r="H19" s="8" t="n">
        <v>0.016</v>
      </c>
      <c r="I19" s="8" t="n">
        <v>0.071</v>
      </c>
      <c r="J19" s="8" t="n">
        <v>0.004</v>
      </c>
    </row>
    <row r="20" customFormat="false" ht="15" hidden="false" customHeight="false" outlineLevel="0" collapsed="false">
      <c r="A20" s="1" t="s">
        <v>244</v>
      </c>
      <c r="B20" s="1" t="s">
        <v>569</v>
      </c>
      <c r="C20" s="1" t="n">
        <v>2021</v>
      </c>
      <c r="D20" s="8" t="n">
        <v>0.037</v>
      </c>
      <c r="E20" s="8" t="n">
        <v>0.48</v>
      </c>
      <c r="F20" s="8" t="n">
        <v>0.235</v>
      </c>
      <c r="G20" s="8" t="n">
        <v>0.151</v>
      </c>
      <c r="H20" s="8" t="n">
        <v>0.022</v>
      </c>
      <c r="I20" s="8" t="n">
        <v>0.068</v>
      </c>
      <c r="J20" s="8" t="n">
        <v>0.007</v>
      </c>
    </row>
    <row r="21" customFormat="false" ht="15" hidden="false" customHeight="false" outlineLevel="0" collapsed="false">
      <c r="A21" s="1" t="s">
        <v>244</v>
      </c>
      <c r="B21" s="1" t="s">
        <v>569</v>
      </c>
      <c r="C21" s="1" t="n">
        <v>2020</v>
      </c>
      <c r="D21" s="8" t="n">
        <v>0.035</v>
      </c>
      <c r="E21" s="8" t="n">
        <v>0.505</v>
      </c>
      <c r="F21" s="8" t="n">
        <v>0.206</v>
      </c>
      <c r="G21" s="8" t="n">
        <v>0.143</v>
      </c>
      <c r="H21" s="8" t="n">
        <v>0.028</v>
      </c>
      <c r="I21" s="8" t="n">
        <v>0.081</v>
      </c>
      <c r="J21" s="8" t="n">
        <v>0.001</v>
      </c>
    </row>
    <row r="22" customFormat="false" ht="15" hidden="false" customHeight="false" outlineLevel="0" collapsed="false">
      <c r="A22" s="1" t="s">
        <v>244</v>
      </c>
      <c r="B22" s="1" t="s">
        <v>569</v>
      </c>
      <c r="C22" s="1" t="n">
        <v>2019</v>
      </c>
      <c r="D22" s="8" t="n">
        <v>0.035</v>
      </c>
      <c r="E22" s="8" t="n">
        <v>0.479</v>
      </c>
      <c r="F22" s="8" t="n">
        <v>0.225</v>
      </c>
      <c r="G22" s="8" t="n">
        <v>0.175</v>
      </c>
      <c r="H22" s="8" t="n">
        <v>0.03</v>
      </c>
      <c r="I22" s="8" t="n">
        <v>0.044</v>
      </c>
      <c r="J22" s="8" t="n">
        <v>0.012</v>
      </c>
    </row>
    <row r="23" customFormat="false" ht="15" hidden="false" customHeight="false" outlineLevel="0" collapsed="false">
      <c r="A23" s="1" t="s">
        <v>244</v>
      </c>
      <c r="B23" s="1" t="s">
        <v>570</v>
      </c>
      <c r="C23" s="1" t="n">
        <v>2024</v>
      </c>
      <c r="D23" s="8" t="n">
        <v>0</v>
      </c>
      <c r="E23" s="8" t="n">
        <v>0</v>
      </c>
      <c r="F23" s="8" t="n">
        <v>0</v>
      </c>
      <c r="G23" s="8" t="n">
        <v>0</v>
      </c>
      <c r="H23" s="8" t="n">
        <v>0</v>
      </c>
      <c r="I23" s="8" t="n">
        <v>0</v>
      </c>
      <c r="J23" s="8" t="n">
        <v>1</v>
      </c>
    </row>
    <row r="24" customFormat="false" ht="15" hidden="false" customHeight="false" outlineLevel="0" collapsed="false">
      <c r="A24" s="1" t="s">
        <v>244</v>
      </c>
      <c r="B24" s="1" t="s">
        <v>570</v>
      </c>
      <c r="C24" s="1" t="n">
        <v>2023</v>
      </c>
      <c r="D24" s="8" t="n">
        <v>0</v>
      </c>
      <c r="E24" s="8" t="n">
        <v>0</v>
      </c>
      <c r="F24" s="8" t="n">
        <v>0</v>
      </c>
      <c r="G24" s="8" t="n">
        <v>0</v>
      </c>
      <c r="H24" s="8" t="n">
        <v>0</v>
      </c>
      <c r="I24" s="8" t="n">
        <v>0</v>
      </c>
      <c r="J24" s="8" t="n">
        <v>1</v>
      </c>
    </row>
    <row r="25" customFormat="false" ht="15" hidden="false" customHeight="false" outlineLevel="0" collapsed="false">
      <c r="A25" s="1" t="s">
        <v>244</v>
      </c>
      <c r="B25" s="1" t="s">
        <v>570</v>
      </c>
      <c r="C25" s="1" t="n">
        <v>2022</v>
      </c>
      <c r="D25" s="8" t="n">
        <v>0</v>
      </c>
      <c r="E25" s="8" t="n">
        <v>0</v>
      </c>
      <c r="F25" s="8" t="n">
        <v>0</v>
      </c>
      <c r="G25" s="8" t="n">
        <v>0</v>
      </c>
      <c r="H25" s="8" t="n">
        <v>0</v>
      </c>
      <c r="I25" s="8" t="n">
        <v>0</v>
      </c>
      <c r="J25" s="8" t="n">
        <v>1</v>
      </c>
    </row>
    <row r="26" customFormat="false" ht="15" hidden="false" customHeight="false" outlineLevel="0" collapsed="false">
      <c r="A26" s="1" t="s">
        <v>244</v>
      </c>
      <c r="B26" s="1" t="s">
        <v>570</v>
      </c>
      <c r="C26" s="1" t="n">
        <v>2021</v>
      </c>
      <c r="D26" s="8" t="n">
        <v>0</v>
      </c>
      <c r="E26" s="8" t="n">
        <v>0</v>
      </c>
      <c r="F26" s="8" t="n">
        <v>0</v>
      </c>
      <c r="G26" s="8" t="n">
        <v>0</v>
      </c>
      <c r="H26" s="8" t="n">
        <v>0</v>
      </c>
      <c r="I26" s="8" t="n">
        <v>0</v>
      </c>
      <c r="J26" s="8" t="n">
        <v>1</v>
      </c>
    </row>
    <row r="27" customFormat="false" ht="15" hidden="false" customHeight="false" outlineLevel="0" collapsed="false">
      <c r="A27" s="1" t="s">
        <v>244</v>
      </c>
      <c r="B27" s="1" t="s">
        <v>570</v>
      </c>
      <c r="C27" s="1" t="n">
        <v>2020</v>
      </c>
      <c r="D27" s="8" t="n">
        <v>0</v>
      </c>
      <c r="E27" s="8" t="n">
        <v>0</v>
      </c>
      <c r="F27" s="8" t="n">
        <v>0</v>
      </c>
      <c r="G27" s="8" t="n">
        <v>0</v>
      </c>
      <c r="H27" s="8" t="n">
        <v>0</v>
      </c>
      <c r="I27" s="8" t="n">
        <v>0</v>
      </c>
      <c r="J27" s="8" t="n">
        <v>1</v>
      </c>
    </row>
    <row r="28" customFormat="false" ht="15" hidden="false" customHeight="false" outlineLevel="0" collapsed="false">
      <c r="A28" s="1" t="s">
        <v>244</v>
      </c>
      <c r="B28" s="1" t="s">
        <v>570</v>
      </c>
      <c r="C28" s="1" t="n">
        <v>2019</v>
      </c>
      <c r="D28" s="8" t="n">
        <v>0</v>
      </c>
      <c r="E28" s="8" t="n">
        <v>0</v>
      </c>
      <c r="F28" s="8" t="n">
        <v>0</v>
      </c>
      <c r="G28" s="8" t="n">
        <v>0</v>
      </c>
      <c r="H28" s="8" t="n">
        <v>0</v>
      </c>
      <c r="I28" s="8" t="n">
        <v>0</v>
      </c>
      <c r="J28" s="8" t="n">
        <v>1</v>
      </c>
    </row>
    <row r="29" customFormat="false" ht="15" hidden="false" customHeight="false" outlineLevel="0" collapsed="false">
      <c r="A29" s="1" t="s">
        <v>207</v>
      </c>
      <c r="B29" s="1" t="s">
        <v>568</v>
      </c>
      <c r="C29" s="1" t="n">
        <v>2024</v>
      </c>
      <c r="D29" s="8" t="n">
        <v>0.054</v>
      </c>
      <c r="E29" s="8" t="n">
        <v>0.453</v>
      </c>
      <c r="F29" s="8" t="n">
        <v>0.053</v>
      </c>
      <c r="G29" s="8" t="n">
        <v>0.024</v>
      </c>
      <c r="H29" s="8" t="n">
        <v>0.046</v>
      </c>
      <c r="I29" s="8" t="n">
        <v>0.094</v>
      </c>
      <c r="J29" s="8" t="n">
        <v>0.276</v>
      </c>
    </row>
    <row r="30" customFormat="false" ht="15" hidden="false" customHeight="false" outlineLevel="0" collapsed="false">
      <c r="A30" s="1" t="s">
        <v>207</v>
      </c>
      <c r="B30" s="1" t="s">
        <v>568</v>
      </c>
      <c r="C30" s="1" t="n">
        <v>2023</v>
      </c>
      <c r="D30" s="8" t="n">
        <v>0.04</v>
      </c>
      <c r="E30" s="8" t="n">
        <v>0.487</v>
      </c>
      <c r="F30" s="8" t="n">
        <v>0.049</v>
      </c>
      <c r="G30" s="8" t="n">
        <v>0.04</v>
      </c>
      <c r="H30" s="8" t="n">
        <v>0.001</v>
      </c>
      <c r="I30" s="8" t="n">
        <v>0.122</v>
      </c>
      <c r="J30" s="8" t="n">
        <v>0.262</v>
      </c>
    </row>
    <row r="31" customFormat="false" ht="15" hidden="false" customHeight="false" outlineLevel="0" collapsed="false">
      <c r="A31" s="1" t="s">
        <v>207</v>
      </c>
      <c r="B31" s="1" t="s">
        <v>568</v>
      </c>
      <c r="C31" s="1" t="n">
        <v>2022</v>
      </c>
      <c r="D31" s="8" t="n">
        <v>0.079</v>
      </c>
      <c r="E31" s="8" t="n">
        <v>0.297</v>
      </c>
      <c r="F31" s="8" t="n">
        <v>0.056</v>
      </c>
      <c r="G31" s="8" t="n">
        <v>0.023</v>
      </c>
      <c r="H31" s="8" t="n">
        <v>0.049</v>
      </c>
      <c r="I31" s="8" t="n">
        <v>0.118</v>
      </c>
      <c r="J31" s="8" t="n">
        <v>0.378</v>
      </c>
    </row>
    <row r="32" customFormat="false" ht="15" hidden="false" customHeight="false" outlineLevel="0" collapsed="false">
      <c r="A32" s="1" t="s">
        <v>207</v>
      </c>
      <c r="B32" s="1" t="s">
        <v>568</v>
      </c>
      <c r="C32" s="1" t="n">
        <v>2021</v>
      </c>
      <c r="D32" s="8" t="n">
        <v>0.093</v>
      </c>
      <c r="E32" s="8" t="n">
        <v>0.254</v>
      </c>
      <c r="F32" s="8" t="n">
        <v>0.048</v>
      </c>
      <c r="G32" s="8" t="n">
        <v>0.02</v>
      </c>
      <c r="H32" s="8" t="n">
        <v>0.02</v>
      </c>
      <c r="I32" s="8" t="n">
        <v>0.109</v>
      </c>
      <c r="J32" s="8" t="n">
        <v>0.456</v>
      </c>
    </row>
    <row r="33" customFormat="false" ht="15" hidden="false" customHeight="false" outlineLevel="0" collapsed="false">
      <c r="A33" s="1" t="s">
        <v>207</v>
      </c>
      <c r="B33" s="1" t="s">
        <v>568</v>
      </c>
      <c r="C33" s="1" t="n">
        <v>2020</v>
      </c>
      <c r="D33" s="8" t="n">
        <v>0.082</v>
      </c>
      <c r="E33" s="8" t="n">
        <v>0.314</v>
      </c>
      <c r="F33" s="8" t="n">
        <v>0.038</v>
      </c>
      <c r="G33" s="8" t="n">
        <v>0.016</v>
      </c>
      <c r="H33" s="8" t="n">
        <v>0.011</v>
      </c>
      <c r="I33" s="8" t="n">
        <v>0.169</v>
      </c>
      <c r="J33" s="8" t="n">
        <v>0.371</v>
      </c>
    </row>
    <row r="34" customFormat="false" ht="15" hidden="false" customHeight="false" outlineLevel="0" collapsed="false">
      <c r="A34" s="1" t="s">
        <v>207</v>
      </c>
      <c r="B34" s="1" t="s">
        <v>568</v>
      </c>
      <c r="C34" s="1" t="n">
        <v>2019</v>
      </c>
      <c r="D34" s="8" t="n">
        <v>0.05</v>
      </c>
      <c r="E34" s="8" t="n">
        <v>0.299</v>
      </c>
      <c r="F34" s="8" t="n">
        <v>0.034</v>
      </c>
      <c r="G34" s="8" t="n">
        <v>0.028</v>
      </c>
      <c r="H34" s="8" t="n">
        <v>0.039</v>
      </c>
      <c r="I34" s="8" t="n">
        <v>0.182</v>
      </c>
      <c r="J34" s="8" t="n">
        <v>0.368</v>
      </c>
    </row>
    <row r="35" customFormat="false" ht="15" hidden="false" customHeight="false" outlineLevel="0" collapsed="false">
      <c r="A35" s="1" t="s">
        <v>207</v>
      </c>
      <c r="B35" s="1" t="s">
        <v>571</v>
      </c>
      <c r="C35" s="1" t="n">
        <v>2024</v>
      </c>
      <c r="D35" s="8" t="n">
        <v>0.028</v>
      </c>
      <c r="E35" s="8" t="n">
        <v>0.851</v>
      </c>
      <c r="F35" s="8" t="n">
        <v>0.062</v>
      </c>
      <c r="G35" s="8" t="n">
        <v>0.024</v>
      </c>
      <c r="H35" s="8" t="n">
        <v>0.004</v>
      </c>
      <c r="I35" s="8" t="n">
        <v>0.03</v>
      </c>
      <c r="J35" s="8" t="n">
        <v>0.001</v>
      </c>
    </row>
    <row r="36" customFormat="false" ht="15" hidden="false" customHeight="false" outlineLevel="0" collapsed="false">
      <c r="A36" s="1" t="s">
        <v>207</v>
      </c>
      <c r="B36" s="1" t="s">
        <v>571</v>
      </c>
      <c r="C36" s="1" t="n">
        <v>2023</v>
      </c>
      <c r="D36" s="8" t="n">
        <v>0.032</v>
      </c>
      <c r="E36" s="8" t="n">
        <v>0.834</v>
      </c>
      <c r="F36" s="8" t="n">
        <v>0.072</v>
      </c>
      <c r="G36" s="8" t="n">
        <v>0.029</v>
      </c>
      <c r="H36" s="8" t="n">
        <v>0.003</v>
      </c>
      <c r="I36" s="8" t="n">
        <v>0.03</v>
      </c>
      <c r="J36" s="8" t="n">
        <v>0.001</v>
      </c>
    </row>
    <row r="37" customFormat="false" ht="15" hidden="false" customHeight="false" outlineLevel="0" collapsed="false">
      <c r="A37" s="1" t="s">
        <v>207</v>
      </c>
      <c r="B37" s="1" t="s">
        <v>571</v>
      </c>
      <c r="C37" s="1" t="n">
        <v>2022</v>
      </c>
      <c r="D37" s="8" t="n">
        <v>0.04</v>
      </c>
      <c r="E37" s="8" t="n">
        <v>0.807</v>
      </c>
      <c r="F37" s="8" t="n">
        <v>0.074</v>
      </c>
      <c r="G37" s="8" t="n">
        <v>0.031</v>
      </c>
      <c r="H37" s="8" t="n">
        <v>0.018</v>
      </c>
      <c r="I37" s="8" t="n">
        <v>0.027</v>
      </c>
      <c r="J37" s="8" t="n">
        <v>0.002</v>
      </c>
    </row>
    <row r="38" customFormat="false" ht="15" hidden="false" customHeight="false" outlineLevel="0" collapsed="false">
      <c r="A38" s="1" t="s">
        <v>207</v>
      </c>
      <c r="B38" s="1" t="s">
        <v>571</v>
      </c>
      <c r="C38" s="1" t="n">
        <v>2021</v>
      </c>
      <c r="D38" s="8" t="n">
        <v>0.031</v>
      </c>
      <c r="E38" s="8" t="n">
        <v>0.834</v>
      </c>
      <c r="F38" s="8" t="n">
        <v>0.072</v>
      </c>
      <c r="G38" s="8" t="n">
        <v>0.028</v>
      </c>
      <c r="H38" s="8" t="n">
        <v>0.003</v>
      </c>
      <c r="I38" s="8" t="n">
        <v>0.03</v>
      </c>
      <c r="J38" s="8" t="n">
        <v>0.001</v>
      </c>
    </row>
    <row r="39" customFormat="false" ht="15" hidden="false" customHeight="false" outlineLevel="0" collapsed="false">
      <c r="A39" s="1" t="s">
        <v>207</v>
      </c>
      <c r="B39" s="1" t="s">
        <v>571</v>
      </c>
      <c r="C39" s="1" t="n">
        <v>2020</v>
      </c>
      <c r="D39" s="8" t="n">
        <v>0.035</v>
      </c>
      <c r="E39" s="8" t="n">
        <v>0.816</v>
      </c>
      <c r="F39" s="8" t="n">
        <v>0.07</v>
      </c>
      <c r="G39" s="8" t="n">
        <v>0.025</v>
      </c>
      <c r="H39" s="8" t="n">
        <v>0.02</v>
      </c>
      <c r="I39" s="8" t="n">
        <v>0.032</v>
      </c>
      <c r="J39" s="8" t="n">
        <v>0.002</v>
      </c>
    </row>
    <row r="40" customFormat="false" ht="15" hidden="false" customHeight="false" outlineLevel="0" collapsed="false">
      <c r="A40" s="1" t="s">
        <v>207</v>
      </c>
      <c r="B40" s="1" t="s">
        <v>571</v>
      </c>
      <c r="C40" s="1" t="n">
        <v>2019</v>
      </c>
      <c r="D40" s="8" t="n">
        <v>0.039</v>
      </c>
      <c r="E40" s="8" t="n">
        <v>0.819</v>
      </c>
      <c r="F40" s="8" t="n">
        <v>0.085</v>
      </c>
      <c r="G40" s="8" t="n">
        <v>0.029</v>
      </c>
      <c r="H40" s="8" t="n">
        <v>0.004</v>
      </c>
      <c r="I40" s="8" t="n">
        <v>0.025</v>
      </c>
      <c r="J40" s="8" t="s">
        <v>572</v>
      </c>
    </row>
    <row r="41" customFormat="false" ht="15" hidden="false" customHeight="false" outlineLevel="0" collapsed="false">
      <c r="A41" s="1" t="s">
        <v>207</v>
      </c>
      <c r="B41" s="1" t="s">
        <v>573</v>
      </c>
      <c r="C41" s="1" t="n">
        <v>2024</v>
      </c>
      <c r="D41" s="8" t="n">
        <v>0</v>
      </c>
      <c r="E41" s="8" t="n">
        <v>0</v>
      </c>
      <c r="F41" s="8" t="n">
        <v>0</v>
      </c>
      <c r="G41" s="8" t="n">
        <v>0</v>
      </c>
      <c r="H41" s="8" t="n">
        <v>0</v>
      </c>
      <c r="I41" s="8" t="n">
        <v>1</v>
      </c>
      <c r="J41" s="8" t="n">
        <v>0</v>
      </c>
    </row>
    <row r="42" customFormat="false" ht="15" hidden="false" customHeight="false" outlineLevel="0" collapsed="false">
      <c r="A42" s="1" t="s">
        <v>207</v>
      </c>
      <c r="B42" s="1" t="s">
        <v>573</v>
      </c>
      <c r="C42" s="1" t="n">
        <v>2020</v>
      </c>
      <c r="D42" s="8" t="n">
        <v>0</v>
      </c>
      <c r="E42" s="8" t="n">
        <v>0</v>
      </c>
      <c r="F42" s="8" t="n">
        <v>0</v>
      </c>
      <c r="G42" s="8" t="n">
        <v>0</v>
      </c>
      <c r="H42" s="8" t="n">
        <v>0</v>
      </c>
      <c r="I42" s="8" t="n">
        <v>1</v>
      </c>
      <c r="J42" s="8" t="n">
        <v>0</v>
      </c>
    </row>
    <row r="43" customFormat="false" ht="15" hidden="false" customHeight="false" outlineLevel="0" collapsed="false">
      <c r="A43" s="1" t="s">
        <v>207</v>
      </c>
      <c r="B43" s="1" t="s">
        <v>573</v>
      </c>
      <c r="C43" s="1" t="n">
        <v>2019</v>
      </c>
      <c r="D43" s="8" t="n">
        <v>0</v>
      </c>
      <c r="E43" s="8" t="n">
        <v>0</v>
      </c>
      <c r="F43" s="8" t="n">
        <v>0</v>
      </c>
      <c r="G43" s="8" t="n">
        <v>0</v>
      </c>
      <c r="H43" s="8" t="n">
        <v>0</v>
      </c>
      <c r="I43" s="8" t="n">
        <v>1</v>
      </c>
      <c r="J43" s="8" t="n">
        <v>0</v>
      </c>
    </row>
    <row r="44" customFormat="false" ht="15" hidden="false" customHeight="false" outlineLevel="0" collapsed="false">
      <c r="A44" s="1" t="s">
        <v>207</v>
      </c>
      <c r="B44" s="1" t="s">
        <v>570</v>
      </c>
      <c r="C44" s="1" t="n">
        <v>2024</v>
      </c>
      <c r="D44" s="8" t="n">
        <v>0</v>
      </c>
      <c r="E44" s="8" t="n">
        <v>0.083</v>
      </c>
      <c r="F44" s="8" t="n">
        <v>0.036</v>
      </c>
      <c r="G44" s="8" t="n">
        <v>0.014</v>
      </c>
      <c r="H44" s="8" t="n">
        <v>0.359</v>
      </c>
      <c r="I44" s="8" t="n">
        <v>0.254</v>
      </c>
      <c r="J44" s="8" t="n">
        <v>0.254</v>
      </c>
    </row>
    <row r="45" customFormat="false" ht="15" hidden="false" customHeight="false" outlineLevel="0" collapsed="false">
      <c r="A45" s="1" t="s">
        <v>207</v>
      </c>
      <c r="B45" s="1" t="s">
        <v>570</v>
      </c>
      <c r="C45" s="1" t="n">
        <v>2023</v>
      </c>
      <c r="D45" s="8" t="n">
        <v>0</v>
      </c>
      <c r="E45" s="8" t="n">
        <v>0.045</v>
      </c>
      <c r="F45" s="8" t="n">
        <v>0.082</v>
      </c>
      <c r="G45" s="8" t="n">
        <v>0.027</v>
      </c>
      <c r="H45" s="8" t="n">
        <v>0</v>
      </c>
      <c r="I45" s="8" t="n">
        <v>0.318</v>
      </c>
      <c r="J45" s="8" t="n">
        <v>0.527</v>
      </c>
    </row>
    <row r="46" customFormat="false" ht="15" hidden="false" customHeight="false" outlineLevel="0" collapsed="false">
      <c r="A46" s="1" t="s">
        <v>207</v>
      </c>
      <c r="B46" s="1" t="s">
        <v>570</v>
      </c>
      <c r="C46" s="1" t="n">
        <v>2022</v>
      </c>
      <c r="D46" s="8" t="n">
        <v>0</v>
      </c>
      <c r="E46" s="8" t="n">
        <v>0.079</v>
      </c>
      <c r="F46" s="8" t="n">
        <v>0.111</v>
      </c>
      <c r="G46" s="8" t="n">
        <v>0.008</v>
      </c>
      <c r="H46" s="8" t="n">
        <v>0</v>
      </c>
      <c r="I46" s="8" t="n">
        <v>0.444</v>
      </c>
      <c r="J46" s="8" t="n">
        <v>0.357</v>
      </c>
    </row>
    <row r="47" customFormat="false" ht="15" hidden="false" customHeight="false" outlineLevel="0" collapsed="false">
      <c r="A47" s="1" t="s">
        <v>207</v>
      </c>
      <c r="B47" s="1" t="s">
        <v>570</v>
      </c>
      <c r="C47" s="1" t="n">
        <v>2021</v>
      </c>
      <c r="D47" s="8" t="n">
        <v>0</v>
      </c>
      <c r="E47" s="8" t="n">
        <v>0.217</v>
      </c>
      <c r="F47" s="8" t="n">
        <v>0.043</v>
      </c>
      <c r="G47" s="8" t="n">
        <v>0.022</v>
      </c>
      <c r="H47" s="8" t="n">
        <v>0</v>
      </c>
      <c r="I47" s="8" t="n">
        <v>0.065</v>
      </c>
      <c r="J47" s="8" t="n">
        <v>0.652</v>
      </c>
    </row>
    <row r="48" customFormat="false" ht="15" hidden="false" customHeight="false" outlineLevel="0" collapsed="false">
      <c r="A48" s="1" t="s">
        <v>207</v>
      </c>
      <c r="B48" s="1" t="s">
        <v>570</v>
      </c>
      <c r="C48" s="1" t="n">
        <v>2020</v>
      </c>
      <c r="D48" s="8" t="n">
        <v>0</v>
      </c>
      <c r="E48" s="8" t="n">
        <v>0.097</v>
      </c>
      <c r="F48" s="8" t="n">
        <v>0.005</v>
      </c>
      <c r="G48" s="8" t="n">
        <v>0.005</v>
      </c>
      <c r="H48" s="8" t="n">
        <v>0.309</v>
      </c>
      <c r="I48" s="8" t="n">
        <v>0.285</v>
      </c>
      <c r="J48" s="8" t="n">
        <v>0.3</v>
      </c>
    </row>
    <row r="49" customFormat="false" ht="15" hidden="false" customHeight="false" outlineLevel="0" collapsed="false">
      <c r="A49" s="1" t="s">
        <v>207</v>
      </c>
      <c r="B49" s="1" t="s">
        <v>570</v>
      </c>
      <c r="C49" s="1" t="n">
        <v>2019</v>
      </c>
      <c r="D49" s="8" t="n">
        <v>0</v>
      </c>
      <c r="E49" s="8" t="n">
        <v>0.03</v>
      </c>
      <c r="F49" s="8" t="n">
        <v>0</v>
      </c>
      <c r="G49" s="8" t="n">
        <v>0</v>
      </c>
      <c r="H49" s="8" t="n">
        <v>0</v>
      </c>
      <c r="I49" s="8" t="n">
        <v>0.26</v>
      </c>
      <c r="J49" s="8" t="n">
        <v>0.71</v>
      </c>
    </row>
    <row r="50" customFormat="false" ht="15" hidden="false" customHeight="false" outlineLevel="0" collapsed="false">
      <c r="A50" s="1" t="s">
        <v>207</v>
      </c>
      <c r="B50" s="1" t="s">
        <v>574</v>
      </c>
      <c r="C50" s="1" t="n">
        <v>2024</v>
      </c>
      <c r="D50" s="8" t="n">
        <v>0</v>
      </c>
      <c r="E50" s="8" t="n">
        <v>0.033</v>
      </c>
      <c r="F50" s="8" t="n">
        <v>0.067</v>
      </c>
      <c r="G50" s="8" t="n">
        <v>0.033</v>
      </c>
      <c r="H50" s="8" t="n">
        <v>0</v>
      </c>
      <c r="I50" s="8" t="n">
        <v>0.867</v>
      </c>
      <c r="J50" s="8" t="n">
        <v>0</v>
      </c>
    </row>
    <row r="51" customFormat="false" ht="15" hidden="false" customHeight="false" outlineLevel="0" collapsed="false">
      <c r="A51" s="1" t="s">
        <v>207</v>
      </c>
      <c r="B51" s="1" t="s">
        <v>574</v>
      </c>
      <c r="C51" s="1" t="n">
        <v>2023</v>
      </c>
      <c r="D51" s="8" t="n">
        <v>0</v>
      </c>
      <c r="E51" s="8" t="n">
        <v>0.171</v>
      </c>
      <c r="F51" s="8" t="n">
        <v>0.057</v>
      </c>
      <c r="G51" s="8" t="n">
        <v>0</v>
      </c>
      <c r="H51" s="8" t="n">
        <v>0</v>
      </c>
      <c r="I51" s="8" t="n">
        <v>0.771</v>
      </c>
      <c r="J51" s="8" t="n">
        <v>0</v>
      </c>
    </row>
    <row r="52" customFormat="false" ht="15" hidden="false" customHeight="false" outlineLevel="0" collapsed="false">
      <c r="A52" s="1" t="s">
        <v>207</v>
      </c>
      <c r="B52" s="1" t="s">
        <v>574</v>
      </c>
      <c r="C52" s="1" t="n">
        <v>2022</v>
      </c>
      <c r="D52" s="8" t="n">
        <v>0</v>
      </c>
      <c r="E52" s="8" t="n">
        <v>0.12</v>
      </c>
      <c r="F52" s="8" t="n">
        <v>0.12</v>
      </c>
      <c r="G52" s="8" t="n">
        <v>0.04</v>
      </c>
      <c r="H52" s="8" t="n">
        <v>0</v>
      </c>
      <c r="I52" s="8" t="n">
        <v>0.72</v>
      </c>
      <c r="J52" s="8" t="n">
        <v>0</v>
      </c>
    </row>
    <row r="53" customFormat="false" ht="15" hidden="false" customHeight="false" outlineLevel="0" collapsed="false">
      <c r="A53" s="1" t="s">
        <v>207</v>
      </c>
      <c r="B53" s="1" t="s">
        <v>574</v>
      </c>
      <c r="C53" s="1" t="n">
        <v>2021</v>
      </c>
      <c r="D53" s="8" t="n">
        <v>0</v>
      </c>
      <c r="E53" s="8" t="n">
        <v>0.081</v>
      </c>
      <c r="F53" s="8" t="n">
        <v>0.054</v>
      </c>
      <c r="G53" s="8" t="n">
        <v>0</v>
      </c>
      <c r="H53" s="8" t="n">
        <v>0</v>
      </c>
      <c r="I53" s="8" t="n">
        <v>0.865</v>
      </c>
      <c r="J53" s="8" t="n">
        <v>0</v>
      </c>
    </row>
    <row r="54" customFormat="false" ht="15" hidden="false" customHeight="false" outlineLevel="0" collapsed="false">
      <c r="A54" s="1" t="s">
        <v>207</v>
      </c>
      <c r="B54" s="1" t="s">
        <v>574</v>
      </c>
      <c r="C54" s="1" t="n">
        <v>2020</v>
      </c>
      <c r="D54" s="8" t="n">
        <v>0</v>
      </c>
      <c r="E54" s="8" t="n">
        <v>0.033</v>
      </c>
      <c r="F54" s="8" t="n">
        <v>0.1</v>
      </c>
      <c r="G54" s="8" t="n">
        <v>0</v>
      </c>
      <c r="H54" s="8" t="n">
        <v>0</v>
      </c>
      <c r="I54" s="8" t="n">
        <v>0.867</v>
      </c>
      <c r="J54" s="8" t="n">
        <v>0</v>
      </c>
    </row>
    <row r="55" customFormat="false" ht="15" hidden="false" customHeight="false" outlineLevel="0" collapsed="false">
      <c r="A55" s="1" t="s">
        <v>207</v>
      </c>
      <c r="B55" s="1" t="s">
        <v>574</v>
      </c>
      <c r="C55" s="1" t="n">
        <v>2019</v>
      </c>
      <c r="D55" s="8" t="n">
        <v>0</v>
      </c>
      <c r="E55" s="8" t="n">
        <v>0</v>
      </c>
      <c r="F55" s="8" t="n">
        <v>0</v>
      </c>
      <c r="G55" s="8" t="n">
        <v>0</v>
      </c>
      <c r="H55" s="8" t="n">
        <v>0</v>
      </c>
      <c r="I55" s="8" t="n">
        <v>1</v>
      </c>
      <c r="J55" s="8" t="n">
        <v>0</v>
      </c>
    </row>
    <row r="56" customFormat="false" ht="15" hidden="false" customHeight="false" outlineLevel="0" collapsed="false">
      <c r="A56" s="1" t="s">
        <v>209</v>
      </c>
      <c r="B56" s="1" t="s">
        <v>568</v>
      </c>
      <c r="C56" s="1" t="n">
        <v>2024</v>
      </c>
      <c r="D56" s="8" t="n">
        <v>0.023</v>
      </c>
      <c r="E56" s="8" t="n">
        <v>0.682</v>
      </c>
      <c r="F56" s="8" t="n">
        <v>0.113</v>
      </c>
      <c r="G56" s="8" t="n">
        <v>0.042</v>
      </c>
      <c r="H56" s="8" t="n">
        <v>0.001</v>
      </c>
      <c r="I56" s="8" t="n">
        <v>0.067</v>
      </c>
      <c r="J56" s="8" t="n">
        <v>0.073</v>
      </c>
    </row>
    <row r="57" customFormat="false" ht="15" hidden="false" customHeight="false" outlineLevel="0" collapsed="false">
      <c r="A57" s="1" t="s">
        <v>209</v>
      </c>
      <c r="B57" s="1" t="s">
        <v>568</v>
      </c>
      <c r="C57" s="1" t="n">
        <v>2023</v>
      </c>
      <c r="D57" s="8" t="n">
        <v>0.024</v>
      </c>
      <c r="E57" s="8" t="n">
        <v>0.682</v>
      </c>
      <c r="F57" s="8" t="n">
        <v>0.104</v>
      </c>
      <c r="G57" s="8" t="n">
        <v>0.05</v>
      </c>
      <c r="H57" s="8" t="n">
        <v>0.003</v>
      </c>
      <c r="I57" s="8" t="n">
        <v>0.064</v>
      </c>
      <c r="J57" s="8" t="n">
        <v>0.073</v>
      </c>
    </row>
    <row r="58" customFormat="false" ht="15" hidden="false" customHeight="false" outlineLevel="0" collapsed="false">
      <c r="A58" s="1" t="s">
        <v>209</v>
      </c>
      <c r="B58" s="1" t="s">
        <v>568</v>
      </c>
      <c r="C58" s="1" t="n">
        <v>2022</v>
      </c>
      <c r="D58" s="8" t="n">
        <v>0.095</v>
      </c>
      <c r="E58" s="8" t="n">
        <v>0.586</v>
      </c>
      <c r="F58" s="8" t="n">
        <v>0.11</v>
      </c>
      <c r="G58" s="8" t="n">
        <v>0.056</v>
      </c>
      <c r="H58" s="8" t="n">
        <v>0.001</v>
      </c>
      <c r="I58" s="8" t="n">
        <v>0.074</v>
      </c>
      <c r="J58" s="8" t="n">
        <v>0.078</v>
      </c>
    </row>
    <row r="59" customFormat="false" ht="15" hidden="false" customHeight="false" outlineLevel="0" collapsed="false">
      <c r="A59" s="1" t="s">
        <v>209</v>
      </c>
      <c r="B59" s="1" t="s">
        <v>568</v>
      </c>
      <c r="C59" s="1" t="n">
        <v>2021</v>
      </c>
      <c r="D59" s="8" t="n">
        <v>0.09</v>
      </c>
      <c r="E59" s="8" t="n">
        <v>0.604</v>
      </c>
      <c r="F59" s="8" t="n">
        <v>0.096</v>
      </c>
      <c r="G59" s="8" t="n">
        <v>0.05</v>
      </c>
      <c r="H59" s="8" t="n">
        <v>0.002</v>
      </c>
      <c r="I59" s="8" t="n">
        <v>0.067</v>
      </c>
      <c r="J59" s="8" t="n">
        <v>0.092</v>
      </c>
    </row>
    <row r="60" customFormat="false" ht="15" hidden="false" customHeight="false" outlineLevel="0" collapsed="false">
      <c r="A60" s="1" t="s">
        <v>209</v>
      </c>
      <c r="B60" s="1" t="s">
        <v>568</v>
      </c>
      <c r="C60" s="1" t="n">
        <v>2020</v>
      </c>
      <c r="D60" s="8" t="n">
        <v>0.092</v>
      </c>
      <c r="E60" s="8" t="n">
        <v>0.562</v>
      </c>
      <c r="F60" s="8" t="n">
        <v>0.124</v>
      </c>
      <c r="G60" s="8" t="n">
        <v>0.052</v>
      </c>
      <c r="H60" s="8" t="n">
        <v>0.002</v>
      </c>
      <c r="I60" s="8" t="n">
        <v>0.063</v>
      </c>
      <c r="J60" s="8" t="n">
        <v>0.106</v>
      </c>
    </row>
    <row r="61" customFormat="false" ht="15" hidden="false" customHeight="false" outlineLevel="0" collapsed="false">
      <c r="A61" s="1" t="s">
        <v>209</v>
      </c>
      <c r="B61" s="1" t="s">
        <v>568</v>
      </c>
      <c r="C61" s="1" t="n">
        <v>2019</v>
      </c>
      <c r="D61" s="8" t="n">
        <v>0.125</v>
      </c>
      <c r="E61" s="8" t="n">
        <v>0.486</v>
      </c>
      <c r="F61" s="8" t="n">
        <v>0.119</v>
      </c>
      <c r="G61" s="8" t="n">
        <v>0.042</v>
      </c>
      <c r="H61" s="8" t="n">
        <v>0.007</v>
      </c>
      <c r="I61" s="8" t="n">
        <v>0.083</v>
      </c>
      <c r="J61" s="8" t="n">
        <v>0.137</v>
      </c>
    </row>
    <row r="62" customFormat="false" ht="15" hidden="false" customHeight="false" outlineLevel="0" collapsed="false">
      <c r="A62" s="1" t="s">
        <v>209</v>
      </c>
      <c r="B62" s="1" t="s">
        <v>575</v>
      </c>
      <c r="C62" s="1" t="n">
        <v>2024</v>
      </c>
      <c r="D62" s="8" t="n">
        <v>0.01</v>
      </c>
      <c r="E62" s="8" t="n">
        <v>0.829</v>
      </c>
      <c r="F62" s="8" t="n">
        <v>0.112</v>
      </c>
      <c r="G62" s="8" t="n">
        <v>0.03</v>
      </c>
      <c r="H62" s="8" t="n">
        <v>0.003</v>
      </c>
      <c r="I62" s="8" t="n">
        <v>0.016</v>
      </c>
      <c r="J62" s="8" t="s">
        <v>572</v>
      </c>
    </row>
    <row r="63" customFormat="false" ht="15" hidden="false" customHeight="false" outlineLevel="0" collapsed="false">
      <c r="A63" s="1" t="s">
        <v>209</v>
      </c>
      <c r="B63" s="1" t="s">
        <v>575</v>
      </c>
      <c r="C63" s="1" t="n">
        <v>2023</v>
      </c>
      <c r="D63" s="8" t="n">
        <v>0.031</v>
      </c>
      <c r="E63" s="8" t="n">
        <v>0.798</v>
      </c>
      <c r="F63" s="8" t="n">
        <v>0.122</v>
      </c>
      <c r="G63" s="8" t="n">
        <v>0.032</v>
      </c>
      <c r="H63" s="8" t="n">
        <v>0.003</v>
      </c>
      <c r="I63" s="8" t="n">
        <v>0.014</v>
      </c>
      <c r="J63" s="8" t="s">
        <v>572</v>
      </c>
    </row>
    <row r="64" customFormat="false" ht="15" hidden="false" customHeight="false" outlineLevel="0" collapsed="false">
      <c r="A64" s="1" t="s">
        <v>209</v>
      </c>
      <c r="B64" s="1" t="s">
        <v>575</v>
      </c>
      <c r="C64" s="1" t="n">
        <v>2022</v>
      </c>
      <c r="D64" s="8" t="n">
        <v>0.029</v>
      </c>
      <c r="E64" s="8" t="n">
        <v>0.799</v>
      </c>
      <c r="F64" s="8" t="n">
        <v>0.12</v>
      </c>
      <c r="G64" s="8" t="n">
        <v>0.035</v>
      </c>
      <c r="H64" s="8" t="n">
        <v>0.003</v>
      </c>
      <c r="I64" s="8" t="n">
        <v>0.014</v>
      </c>
      <c r="J64" s="8" t="s">
        <v>572</v>
      </c>
    </row>
    <row r="65" customFormat="false" ht="15" hidden="false" customHeight="false" outlineLevel="0" collapsed="false">
      <c r="A65" s="1" t="s">
        <v>209</v>
      </c>
      <c r="B65" s="1" t="s">
        <v>575</v>
      </c>
      <c r="C65" s="1" t="n">
        <v>2021</v>
      </c>
      <c r="D65" s="8" t="n">
        <v>0.01</v>
      </c>
      <c r="E65" s="8" t="n">
        <v>0.809</v>
      </c>
      <c r="F65" s="8" t="n">
        <v>0.127</v>
      </c>
      <c r="G65" s="8" t="n">
        <v>0.033</v>
      </c>
      <c r="H65" s="8" t="n">
        <v>0.003</v>
      </c>
      <c r="I65" s="8" t="n">
        <v>0.018</v>
      </c>
      <c r="J65" s="8" t="n">
        <v>0</v>
      </c>
    </row>
    <row r="66" customFormat="false" ht="15" hidden="false" customHeight="false" outlineLevel="0" collapsed="false">
      <c r="A66" s="1" t="s">
        <v>209</v>
      </c>
      <c r="B66" s="1" t="s">
        <v>575</v>
      </c>
      <c r="C66" s="1" t="n">
        <v>2020</v>
      </c>
      <c r="D66" s="8" t="n">
        <v>0.006</v>
      </c>
      <c r="E66" s="8" t="n">
        <v>0.801</v>
      </c>
      <c r="F66" s="8" t="n">
        <v>0.135</v>
      </c>
      <c r="G66" s="8" t="n">
        <v>0.033</v>
      </c>
      <c r="H66" s="8" t="n">
        <v>0.002</v>
      </c>
      <c r="I66" s="8" t="n">
        <v>0.022</v>
      </c>
      <c r="J66" s="8" t="s">
        <v>572</v>
      </c>
    </row>
    <row r="67" customFormat="false" ht="15" hidden="false" customHeight="false" outlineLevel="0" collapsed="false">
      <c r="A67" s="1" t="s">
        <v>209</v>
      </c>
      <c r="B67" s="1" t="s">
        <v>575</v>
      </c>
      <c r="C67" s="1" t="n">
        <v>2019</v>
      </c>
      <c r="D67" s="8" t="n">
        <v>0.007</v>
      </c>
      <c r="E67" s="8" t="n">
        <v>0.7</v>
      </c>
      <c r="F67" s="8" t="n">
        <v>0.199</v>
      </c>
      <c r="G67" s="8" t="n">
        <v>0.072</v>
      </c>
      <c r="H67" s="8" t="n">
        <v>0.002</v>
      </c>
      <c r="I67" s="8" t="n">
        <v>0.021</v>
      </c>
      <c r="J67" s="8" t="s">
        <v>572</v>
      </c>
    </row>
    <row r="68" customFormat="false" ht="15" hidden="false" customHeight="false" outlineLevel="0" collapsed="false">
      <c r="A68" s="1" t="s">
        <v>209</v>
      </c>
      <c r="B68" s="1" t="s">
        <v>573</v>
      </c>
      <c r="C68" s="1" t="n">
        <v>2024</v>
      </c>
      <c r="D68" s="8" t="n">
        <v>0</v>
      </c>
      <c r="E68" s="8" t="n">
        <v>0.046</v>
      </c>
      <c r="F68" s="8" t="n">
        <v>0.007</v>
      </c>
      <c r="G68" s="8" t="n">
        <v>0</v>
      </c>
      <c r="H68" s="8" t="n">
        <v>0</v>
      </c>
      <c r="I68" s="8" t="n">
        <v>0.948</v>
      </c>
      <c r="J68" s="8" t="n">
        <v>0</v>
      </c>
    </row>
    <row r="69" customFormat="false" ht="15" hidden="false" customHeight="false" outlineLevel="0" collapsed="false">
      <c r="A69" s="1" t="s">
        <v>209</v>
      </c>
      <c r="B69" s="1" t="s">
        <v>573</v>
      </c>
      <c r="C69" s="1" t="n">
        <v>2023</v>
      </c>
      <c r="D69" s="8" t="n">
        <v>0</v>
      </c>
      <c r="E69" s="8" t="n">
        <v>0</v>
      </c>
      <c r="F69" s="8" t="n">
        <v>0</v>
      </c>
      <c r="G69" s="8" t="n">
        <v>0</v>
      </c>
      <c r="H69" s="8" t="n">
        <v>0</v>
      </c>
      <c r="I69" s="8" t="n">
        <v>1</v>
      </c>
      <c r="J69" s="8" t="n">
        <v>0</v>
      </c>
    </row>
    <row r="70" customFormat="false" ht="15" hidden="false" customHeight="false" outlineLevel="0" collapsed="false">
      <c r="A70" s="1" t="s">
        <v>209</v>
      </c>
      <c r="B70" s="1" t="s">
        <v>573</v>
      </c>
      <c r="C70" s="1" t="n">
        <v>2022</v>
      </c>
      <c r="D70" s="8" t="n">
        <v>0</v>
      </c>
      <c r="E70" s="8" t="n">
        <v>0</v>
      </c>
      <c r="F70" s="8" t="n">
        <v>0</v>
      </c>
      <c r="G70" s="8" t="n">
        <v>0</v>
      </c>
      <c r="H70" s="8" t="n">
        <v>0</v>
      </c>
      <c r="I70" s="8" t="n">
        <v>1</v>
      </c>
      <c r="J70" s="8" t="n">
        <v>0</v>
      </c>
    </row>
    <row r="71" customFormat="false" ht="15" hidden="false" customHeight="false" outlineLevel="0" collapsed="false">
      <c r="A71" s="1" t="s">
        <v>209</v>
      </c>
      <c r="B71" s="1" t="s">
        <v>573</v>
      </c>
      <c r="C71" s="1" t="n">
        <v>2021</v>
      </c>
      <c r="D71" s="8" t="n">
        <v>0</v>
      </c>
      <c r="E71" s="8" t="n">
        <v>0</v>
      </c>
      <c r="F71" s="8" t="n">
        <v>0</v>
      </c>
      <c r="G71" s="8" t="n">
        <v>0</v>
      </c>
      <c r="H71" s="8" t="n">
        <v>0</v>
      </c>
      <c r="I71" s="8" t="n">
        <v>1</v>
      </c>
      <c r="J71" s="8" t="n">
        <v>0</v>
      </c>
    </row>
    <row r="72" customFormat="false" ht="15" hidden="false" customHeight="false" outlineLevel="0" collapsed="false">
      <c r="A72" s="1" t="s">
        <v>209</v>
      </c>
      <c r="B72" s="1" t="s">
        <v>573</v>
      </c>
      <c r="C72" s="1" t="n">
        <v>2020</v>
      </c>
      <c r="D72" s="8" t="n">
        <v>0</v>
      </c>
      <c r="E72" s="8" t="n">
        <v>0</v>
      </c>
      <c r="F72" s="8" t="n">
        <v>0</v>
      </c>
      <c r="G72" s="8" t="n">
        <v>0</v>
      </c>
      <c r="H72" s="8" t="n">
        <v>0</v>
      </c>
      <c r="I72" s="8" t="n">
        <v>1</v>
      </c>
      <c r="J72" s="8" t="n">
        <v>0</v>
      </c>
    </row>
    <row r="73" customFormat="false" ht="15" hidden="false" customHeight="false" outlineLevel="0" collapsed="false">
      <c r="A73" s="1" t="s">
        <v>209</v>
      </c>
      <c r="B73" s="1" t="s">
        <v>573</v>
      </c>
      <c r="C73" s="1" t="n">
        <v>2019</v>
      </c>
      <c r="D73" s="8" t="n">
        <v>0</v>
      </c>
      <c r="E73" s="8" t="n">
        <v>0</v>
      </c>
      <c r="F73" s="8" t="n">
        <v>0</v>
      </c>
      <c r="G73" s="8" t="n">
        <v>0</v>
      </c>
      <c r="H73" s="8" t="n">
        <v>0</v>
      </c>
      <c r="I73" s="8" t="n">
        <v>0.996</v>
      </c>
      <c r="J73" s="8" t="n">
        <v>0.004</v>
      </c>
    </row>
    <row r="74" customFormat="false" ht="15" hidden="false" customHeight="false" outlineLevel="0" collapsed="false">
      <c r="A74" s="1" t="s">
        <v>209</v>
      </c>
      <c r="B74" s="1" t="s">
        <v>570</v>
      </c>
      <c r="C74" s="1" t="n">
        <v>2024</v>
      </c>
      <c r="D74" s="8" t="n">
        <v>0.017</v>
      </c>
      <c r="E74" s="8" t="n">
        <v>0.308</v>
      </c>
      <c r="F74" s="8" t="n">
        <v>0.128</v>
      </c>
      <c r="G74" s="8" t="n">
        <v>0.066</v>
      </c>
      <c r="H74" s="8" t="n">
        <v>0.003</v>
      </c>
      <c r="I74" s="8" t="n">
        <v>0.322</v>
      </c>
      <c r="J74" s="8" t="n">
        <v>0.156</v>
      </c>
    </row>
    <row r="75" customFormat="false" ht="15" hidden="false" customHeight="false" outlineLevel="0" collapsed="false">
      <c r="A75" s="1" t="s">
        <v>209</v>
      </c>
      <c r="B75" s="1" t="s">
        <v>570</v>
      </c>
      <c r="C75" s="1" t="n">
        <v>2023</v>
      </c>
      <c r="D75" s="8" t="n">
        <v>0.012</v>
      </c>
      <c r="E75" s="8" t="n">
        <v>0.285</v>
      </c>
      <c r="F75" s="8" t="n">
        <v>0.088</v>
      </c>
      <c r="G75" s="8" t="n">
        <v>0.059</v>
      </c>
      <c r="H75" s="8" t="n">
        <v>0.007</v>
      </c>
      <c r="I75" s="8" t="n">
        <v>0.276</v>
      </c>
      <c r="J75" s="8" t="n">
        <v>0.272</v>
      </c>
    </row>
    <row r="76" customFormat="false" ht="15" hidden="false" customHeight="false" outlineLevel="0" collapsed="false">
      <c r="A76" s="1" t="s">
        <v>209</v>
      </c>
      <c r="B76" s="1" t="s">
        <v>570</v>
      </c>
      <c r="C76" s="1" t="n">
        <v>2022</v>
      </c>
      <c r="D76" s="8" t="n">
        <v>0.014</v>
      </c>
      <c r="E76" s="8" t="n">
        <v>0.218</v>
      </c>
      <c r="F76" s="8" t="n">
        <v>0.093</v>
      </c>
      <c r="G76" s="8" t="n">
        <v>0.059</v>
      </c>
      <c r="H76" s="8" t="n">
        <v>0.001</v>
      </c>
      <c r="I76" s="8" t="n">
        <v>0.273</v>
      </c>
      <c r="J76" s="8" t="n">
        <v>0.342</v>
      </c>
    </row>
    <row r="77" customFormat="false" ht="15" hidden="false" customHeight="false" outlineLevel="0" collapsed="false">
      <c r="A77" s="1" t="s">
        <v>209</v>
      </c>
      <c r="B77" s="1" t="s">
        <v>570</v>
      </c>
      <c r="C77" s="1" t="n">
        <v>2021</v>
      </c>
      <c r="D77" s="8" t="n">
        <v>0.017</v>
      </c>
      <c r="E77" s="8" t="n">
        <v>0.28</v>
      </c>
      <c r="F77" s="8" t="n">
        <v>0.148</v>
      </c>
      <c r="G77" s="8" t="n">
        <v>0.084</v>
      </c>
      <c r="H77" s="8" t="n">
        <v>0.005</v>
      </c>
      <c r="I77" s="8" t="n">
        <v>0.199</v>
      </c>
      <c r="J77" s="8" t="n">
        <v>0.268</v>
      </c>
    </row>
    <row r="78" customFormat="false" ht="15" hidden="false" customHeight="false" outlineLevel="0" collapsed="false">
      <c r="A78" s="1" t="s">
        <v>209</v>
      </c>
      <c r="B78" s="1" t="s">
        <v>570</v>
      </c>
      <c r="C78" s="1" t="n">
        <v>2020</v>
      </c>
      <c r="D78" s="8" t="n">
        <v>0.02</v>
      </c>
      <c r="E78" s="8" t="n">
        <v>0.192</v>
      </c>
      <c r="F78" s="8" t="n">
        <v>0.089</v>
      </c>
      <c r="G78" s="8" t="n">
        <v>0.048</v>
      </c>
      <c r="H78" s="8" t="n">
        <v>0.007</v>
      </c>
      <c r="I78" s="8" t="n">
        <v>0.235</v>
      </c>
      <c r="J78" s="8" t="n">
        <v>0.408</v>
      </c>
    </row>
    <row r="79" customFormat="false" ht="15" hidden="false" customHeight="false" outlineLevel="0" collapsed="false">
      <c r="A79" s="1" t="s">
        <v>209</v>
      </c>
      <c r="B79" s="1" t="s">
        <v>570</v>
      </c>
      <c r="C79" s="1" t="n">
        <v>2019</v>
      </c>
      <c r="D79" s="8" t="n">
        <v>0.03</v>
      </c>
      <c r="E79" s="8" t="n">
        <v>0.139</v>
      </c>
      <c r="F79" s="8" t="n">
        <v>0.056</v>
      </c>
      <c r="G79" s="8" t="n">
        <v>0.032</v>
      </c>
      <c r="H79" s="8" t="n">
        <v>0.003</v>
      </c>
      <c r="I79" s="8" t="n">
        <v>0.212</v>
      </c>
      <c r="J79" s="8" t="n">
        <v>0.528</v>
      </c>
    </row>
    <row r="80" customFormat="false" ht="15" hidden="false" customHeight="false" outlineLevel="0" collapsed="false">
      <c r="A80" s="1" t="s">
        <v>209</v>
      </c>
      <c r="B80" s="1" t="s">
        <v>574</v>
      </c>
      <c r="C80" s="1" t="n">
        <v>2024</v>
      </c>
      <c r="D80" s="8" t="n">
        <v>0.016</v>
      </c>
      <c r="E80" s="8" t="n">
        <v>0.332</v>
      </c>
      <c r="F80" s="8" t="n">
        <v>0.066</v>
      </c>
      <c r="G80" s="8" t="n">
        <v>0.022</v>
      </c>
      <c r="H80" s="8" t="n">
        <v>0</v>
      </c>
      <c r="I80" s="8" t="n">
        <v>0.482</v>
      </c>
      <c r="J80" s="8" t="n">
        <v>0.082</v>
      </c>
    </row>
    <row r="81" customFormat="false" ht="15" hidden="false" customHeight="false" outlineLevel="0" collapsed="false">
      <c r="A81" s="1" t="s">
        <v>209</v>
      </c>
      <c r="B81" s="1" t="s">
        <v>574</v>
      </c>
      <c r="C81" s="1" t="n">
        <v>2023</v>
      </c>
      <c r="D81" s="8" t="n">
        <v>0.008</v>
      </c>
      <c r="E81" s="8" t="n">
        <v>0.322</v>
      </c>
      <c r="F81" s="8" t="n">
        <v>0.076</v>
      </c>
      <c r="G81" s="8" t="n">
        <v>0.032</v>
      </c>
      <c r="H81" s="8" t="n">
        <v>0</v>
      </c>
      <c r="I81" s="8" t="n">
        <v>0.466</v>
      </c>
      <c r="J81" s="8" t="n">
        <v>0.096</v>
      </c>
    </row>
    <row r="82" customFormat="false" ht="15" hidden="false" customHeight="false" outlineLevel="0" collapsed="false">
      <c r="A82" s="1" t="s">
        <v>209</v>
      </c>
      <c r="B82" s="1" t="s">
        <v>574</v>
      </c>
      <c r="C82" s="1" t="n">
        <v>2022</v>
      </c>
      <c r="D82" s="8" t="n">
        <v>0.027</v>
      </c>
      <c r="E82" s="8" t="n">
        <v>0.296</v>
      </c>
      <c r="F82" s="8" t="n">
        <v>0.076</v>
      </c>
      <c r="G82" s="8" t="n">
        <v>0.03</v>
      </c>
      <c r="H82" s="8" t="n">
        <v>0.001</v>
      </c>
      <c r="I82" s="8" t="n">
        <v>0.529</v>
      </c>
      <c r="J82" s="8" t="n">
        <v>0.042</v>
      </c>
    </row>
    <row r="83" customFormat="false" ht="15" hidden="false" customHeight="false" outlineLevel="0" collapsed="false">
      <c r="A83" s="1" t="s">
        <v>209</v>
      </c>
      <c r="B83" s="1" t="s">
        <v>574</v>
      </c>
      <c r="C83" s="1" t="n">
        <v>2021</v>
      </c>
      <c r="D83" s="8" t="n">
        <v>0.034</v>
      </c>
      <c r="E83" s="8" t="n">
        <v>0.265</v>
      </c>
      <c r="F83" s="8" t="n">
        <v>0.102</v>
      </c>
      <c r="G83" s="8" t="n">
        <v>0.022</v>
      </c>
      <c r="H83" s="8" t="n">
        <v>0.002</v>
      </c>
      <c r="I83" s="8" t="n">
        <v>0.52</v>
      </c>
      <c r="J83" s="8" t="n">
        <v>0.056</v>
      </c>
    </row>
    <row r="84" customFormat="false" ht="15" hidden="false" customHeight="false" outlineLevel="0" collapsed="false">
      <c r="A84" s="1" t="s">
        <v>209</v>
      </c>
      <c r="B84" s="1" t="s">
        <v>574</v>
      </c>
      <c r="C84" s="1" t="n">
        <v>2020</v>
      </c>
      <c r="D84" s="8" t="n">
        <v>0.019</v>
      </c>
      <c r="E84" s="8" t="n">
        <v>0.185</v>
      </c>
      <c r="F84" s="8" t="n">
        <v>0.092</v>
      </c>
      <c r="G84" s="8" t="n">
        <v>0.028</v>
      </c>
      <c r="H84" s="8" t="n">
        <v>0.001</v>
      </c>
      <c r="I84" s="8" t="n">
        <v>0.659</v>
      </c>
      <c r="J84" s="8" t="n">
        <v>0.016</v>
      </c>
    </row>
    <row r="85" customFormat="false" ht="15" hidden="false" customHeight="false" outlineLevel="0" collapsed="false">
      <c r="A85" s="1" t="s">
        <v>209</v>
      </c>
      <c r="B85" s="1" t="s">
        <v>574</v>
      </c>
      <c r="C85" s="1" t="n">
        <v>2019</v>
      </c>
      <c r="D85" s="8" t="n">
        <v>0.019</v>
      </c>
      <c r="E85" s="8" t="n">
        <v>0.2</v>
      </c>
      <c r="F85" s="8" t="n">
        <v>0.078</v>
      </c>
      <c r="G85" s="8" t="n">
        <v>0.023</v>
      </c>
      <c r="H85" s="8" t="n">
        <v>0.001</v>
      </c>
      <c r="I85" s="8" t="n">
        <v>0.664</v>
      </c>
      <c r="J85" s="8" t="n">
        <v>0.014</v>
      </c>
    </row>
    <row r="86" customFormat="false" ht="15" hidden="false" customHeight="false" outlineLevel="0" collapsed="false">
      <c r="A86" s="1" t="s">
        <v>211</v>
      </c>
      <c r="B86" s="1" t="s">
        <v>568</v>
      </c>
      <c r="C86" s="1" t="n">
        <v>2024</v>
      </c>
      <c r="D86" s="8" t="n">
        <v>0.01</v>
      </c>
      <c r="E86" s="8" t="n">
        <v>0.576</v>
      </c>
      <c r="F86" s="8" t="n">
        <v>0.24</v>
      </c>
      <c r="G86" s="8" t="n">
        <v>0.14</v>
      </c>
      <c r="H86" s="8" t="n">
        <v>0.001</v>
      </c>
      <c r="I86" s="8" t="n">
        <v>0.024</v>
      </c>
      <c r="J86" s="8" t="n">
        <v>0.009</v>
      </c>
    </row>
    <row r="87" customFormat="false" ht="15" hidden="false" customHeight="false" outlineLevel="0" collapsed="false">
      <c r="A87" s="1" t="s">
        <v>211</v>
      </c>
      <c r="B87" s="1" t="s">
        <v>568</v>
      </c>
      <c r="C87" s="1" t="n">
        <v>2023</v>
      </c>
      <c r="D87" s="8" t="s">
        <v>572</v>
      </c>
      <c r="E87" s="8" t="n">
        <v>0.537</v>
      </c>
      <c r="F87" s="8" t="n">
        <v>0.262</v>
      </c>
      <c r="G87" s="8" t="n">
        <v>0.176</v>
      </c>
      <c r="H87" s="8" t="n">
        <v>0.001</v>
      </c>
      <c r="I87" s="8" t="n">
        <v>0.016</v>
      </c>
      <c r="J87" s="8" t="n">
        <v>0.008</v>
      </c>
    </row>
    <row r="88" customFormat="false" ht="15" hidden="false" customHeight="false" outlineLevel="0" collapsed="false">
      <c r="A88" s="1" t="s">
        <v>211</v>
      </c>
      <c r="B88" s="1" t="s">
        <v>568</v>
      </c>
      <c r="C88" s="1" t="n">
        <v>2022</v>
      </c>
      <c r="D88" s="8" t="n">
        <v>0.005</v>
      </c>
      <c r="E88" s="8" t="n">
        <v>0.549</v>
      </c>
      <c r="F88" s="8" t="n">
        <v>0.214</v>
      </c>
      <c r="G88" s="8" t="n">
        <v>0.182</v>
      </c>
      <c r="H88" s="8" t="s">
        <v>572</v>
      </c>
      <c r="I88" s="8" t="n">
        <v>0.044</v>
      </c>
      <c r="J88" s="8" t="n">
        <v>0.005</v>
      </c>
    </row>
    <row r="89" customFormat="false" ht="15" hidden="false" customHeight="false" outlineLevel="0" collapsed="false">
      <c r="A89" s="1" t="s">
        <v>211</v>
      </c>
      <c r="B89" s="1" t="s">
        <v>568</v>
      </c>
      <c r="C89" s="1" t="n">
        <v>2021</v>
      </c>
      <c r="D89" s="8" t="n">
        <v>0.005</v>
      </c>
      <c r="E89" s="8" t="n">
        <v>0.491</v>
      </c>
      <c r="F89" s="8" t="n">
        <v>0.245</v>
      </c>
      <c r="G89" s="8" t="n">
        <v>0.218</v>
      </c>
      <c r="H89" s="8" t="n">
        <v>0.001</v>
      </c>
      <c r="I89" s="8" t="n">
        <v>0.037</v>
      </c>
      <c r="J89" s="8" t="n">
        <v>0.004</v>
      </c>
    </row>
    <row r="90" customFormat="false" ht="15" hidden="false" customHeight="false" outlineLevel="0" collapsed="false">
      <c r="A90" s="1" t="s">
        <v>211</v>
      </c>
      <c r="B90" s="1" t="s">
        <v>568</v>
      </c>
      <c r="C90" s="1" t="n">
        <v>2020</v>
      </c>
      <c r="D90" s="8" t="s">
        <v>572</v>
      </c>
      <c r="E90" s="8" t="n">
        <v>0.507</v>
      </c>
      <c r="F90" s="8" t="n">
        <v>0.243</v>
      </c>
      <c r="G90" s="8" t="n">
        <v>0.212</v>
      </c>
      <c r="H90" s="8" t="n">
        <v>0.001</v>
      </c>
      <c r="I90" s="8" t="n">
        <v>0.027</v>
      </c>
      <c r="J90" s="8" t="n">
        <v>0.009</v>
      </c>
    </row>
    <row r="91" customFormat="false" ht="15" hidden="false" customHeight="false" outlineLevel="0" collapsed="false">
      <c r="A91" s="1" t="s">
        <v>211</v>
      </c>
      <c r="B91" s="1" t="s">
        <v>568</v>
      </c>
      <c r="C91" s="1" t="n">
        <v>2019</v>
      </c>
      <c r="D91" s="8" t="n">
        <v>0</v>
      </c>
      <c r="E91" s="8" t="n">
        <v>0.551</v>
      </c>
      <c r="F91" s="8" t="n">
        <v>0.247</v>
      </c>
      <c r="G91" s="8" t="n">
        <v>0.163</v>
      </c>
      <c r="H91" s="8" t="n">
        <v>0</v>
      </c>
      <c r="I91" s="8" t="n">
        <v>0.025</v>
      </c>
      <c r="J91" s="8" t="n">
        <v>0.015</v>
      </c>
    </row>
    <row r="92" customFormat="false" ht="15" hidden="false" customHeight="false" outlineLevel="0" collapsed="false">
      <c r="A92" s="1" t="s">
        <v>211</v>
      </c>
      <c r="B92" s="1" t="s">
        <v>576</v>
      </c>
      <c r="C92" s="1" t="n">
        <v>2024</v>
      </c>
      <c r="D92" s="8" t="n">
        <v>0.008</v>
      </c>
      <c r="E92" s="8" t="n">
        <v>0.609</v>
      </c>
      <c r="F92" s="8" t="n">
        <v>0.253</v>
      </c>
      <c r="G92" s="8" t="n">
        <v>0.101</v>
      </c>
      <c r="H92" s="8" t="n">
        <v>0.005</v>
      </c>
      <c r="I92" s="8" t="n">
        <v>0.023</v>
      </c>
      <c r="J92" s="8" t="n">
        <v>0.001</v>
      </c>
    </row>
    <row r="93" customFormat="false" ht="15" hidden="false" customHeight="false" outlineLevel="0" collapsed="false">
      <c r="A93" s="1" t="s">
        <v>211</v>
      </c>
      <c r="B93" s="1" t="s">
        <v>576</v>
      </c>
      <c r="C93" s="1" t="n">
        <v>2023</v>
      </c>
      <c r="D93" s="8" t="n">
        <v>0.008</v>
      </c>
      <c r="E93" s="8" t="n">
        <v>0.611</v>
      </c>
      <c r="F93" s="8" t="n">
        <v>0.249</v>
      </c>
      <c r="G93" s="8" t="n">
        <v>0.103</v>
      </c>
      <c r="H93" s="8" t="n">
        <v>0.006</v>
      </c>
      <c r="I93" s="8" t="n">
        <v>0.023</v>
      </c>
      <c r="J93" s="8" t="n">
        <v>0.001</v>
      </c>
    </row>
    <row r="94" customFormat="false" ht="15" hidden="false" customHeight="false" outlineLevel="0" collapsed="false">
      <c r="A94" s="1" t="s">
        <v>211</v>
      </c>
      <c r="B94" s="1" t="s">
        <v>576</v>
      </c>
      <c r="C94" s="1" t="n">
        <v>2022</v>
      </c>
      <c r="D94" s="8" t="n">
        <v>0.007</v>
      </c>
      <c r="E94" s="8" t="n">
        <v>0.596</v>
      </c>
      <c r="F94" s="8" t="n">
        <v>0.256</v>
      </c>
      <c r="G94" s="8" t="n">
        <v>0.112</v>
      </c>
      <c r="H94" s="8" t="n">
        <v>0.005</v>
      </c>
      <c r="I94" s="8" t="n">
        <v>0.023</v>
      </c>
      <c r="J94" s="8" t="s">
        <v>572</v>
      </c>
    </row>
    <row r="95" customFormat="false" ht="15" hidden="false" customHeight="false" outlineLevel="0" collapsed="false">
      <c r="A95" s="1" t="s">
        <v>211</v>
      </c>
      <c r="B95" s="1" t="s">
        <v>576</v>
      </c>
      <c r="C95" s="1" t="n">
        <v>2021</v>
      </c>
      <c r="D95" s="8" t="n">
        <v>0.005</v>
      </c>
      <c r="E95" s="8" t="n">
        <v>0.582</v>
      </c>
      <c r="F95" s="8" t="n">
        <v>0.259</v>
      </c>
      <c r="G95" s="8" t="n">
        <v>0.12</v>
      </c>
      <c r="H95" s="8" t="n">
        <v>0.005</v>
      </c>
      <c r="I95" s="8" t="n">
        <v>0.028</v>
      </c>
      <c r="J95" s="8" t="s">
        <v>572</v>
      </c>
    </row>
    <row r="96" customFormat="false" ht="15" hidden="false" customHeight="false" outlineLevel="0" collapsed="false">
      <c r="A96" s="1" t="s">
        <v>211</v>
      </c>
      <c r="B96" s="1" t="s">
        <v>576</v>
      </c>
      <c r="C96" s="1" t="n">
        <v>2020</v>
      </c>
      <c r="D96" s="8" t="n">
        <v>0.007</v>
      </c>
      <c r="E96" s="8" t="n">
        <v>0.567</v>
      </c>
      <c r="F96" s="8" t="n">
        <v>0.265</v>
      </c>
      <c r="G96" s="8" t="n">
        <v>0.12</v>
      </c>
      <c r="H96" s="8" t="n">
        <v>0.005</v>
      </c>
      <c r="I96" s="8" t="n">
        <v>0.036</v>
      </c>
      <c r="J96" s="8" t="s">
        <v>572</v>
      </c>
    </row>
    <row r="97" customFormat="false" ht="15" hidden="false" customHeight="false" outlineLevel="0" collapsed="false">
      <c r="A97" s="1" t="s">
        <v>211</v>
      </c>
      <c r="B97" s="1" t="s">
        <v>576</v>
      </c>
      <c r="C97" s="1" t="n">
        <v>2019</v>
      </c>
      <c r="D97" s="8" t="n">
        <v>0.006</v>
      </c>
      <c r="E97" s="8" t="n">
        <v>0.56</v>
      </c>
      <c r="F97" s="8" t="n">
        <v>0.267</v>
      </c>
      <c r="G97" s="8" t="n">
        <v>0.124</v>
      </c>
      <c r="H97" s="8" t="n">
        <v>0.005</v>
      </c>
      <c r="I97" s="8" t="n">
        <v>0.036</v>
      </c>
      <c r="J97" s="8" t="n">
        <v>0.001</v>
      </c>
    </row>
    <row r="98" customFormat="false" ht="15" hidden="false" customHeight="false" outlineLevel="0" collapsed="false">
      <c r="A98" s="1" t="s">
        <v>211</v>
      </c>
      <c r="B98" s="1" t="s">
        <v>573</v>
      </c>
      <c r="C98" s="1" t="n">
        <v>2024</v>
      </c>
      <c r="D98" s="8" t="n">
        <v>0</v>
      </c>
      <c r="E98" s="8" t="n">
        <v>0.024</v>
      </c>
      <c r="F98" s="8" t="n">
        <v>0.028</v>
      </c>
      <c r="G98" s="8" t="n">
        <v>0.004</v>
      </c>
      <c r="H98" s="8" t="n">
        <v>0</v>
      </c>
      <c r="I98" s="8" t="n">
        <v>0.928</v>
      </c>
      <c r="J98" s="8" t="n">
        <v>0.016</v>
      </c>
    </row>
    <row r="99" customFormat="false" ht="15" hidden="false" customHeight="false" outlineLevel="0" collapsed="false">
      <c r="A99" s="1" t="s">
        <v>211</v>
      </c>
      <c r="B99" s="1" t="s">
        <v>573</v>
      </c>
      <c r="C99" s="1" t="n">
        <v>2023</v>
      </c>
      <c r="D99" s="8" t="n">
        <v>0</v>
      </c>
      <c r="E99" s="8" t="n">
        <v>0.048</v>
      </c>
      <c r="F99" s="8" t="n">
        <v>0.047</v>
      </c>
      <c r="G99" s="8" t="n">
        <v>0.008</v>
      </c>
      <c r="H99" s="8" t="n">
        <v>0.001</v>
      </c>
      <c r="I99" s="8" t="n">
        <v>0.86</v>
      </c>
      <c r="J99" s="8" t="n">
        <v>0.037</v>
      </c>
    </row>
    <row r="100" customFormat="false" ht="15" hidden="false" customHeight="false" outlineLevel="0" collapsed="false">
      <c r="A100" s="1" t="s">
        <v>211</v>
      </c>
      <c r="B100" s="1" t="s">
        <v>573</v>
      </c>
      <c r="C100" s="1" t="n">
        <v>2022</v>
      </c>
      <c r="D100" s="8" t="n">
        <v>0</v>
      </c>
      <c r="E100" s="8" t="n">
        <v>0.016</v>
      </c>
      <c r="F100" s="8" t="n">
        <v>0.022</v>
      </c>
      <c r="G100" s="8" t="n">
        <v>0.008</v>
      </c>
      <c r="H100" s="8" t="n">
        <v>0</v>
      </c>
      <c r="I100" s="8" t="n">
        <v>0.92</v>
      </c>
      <c r="J100" s="8" t="n">
        <v>0.034</v>
      </c>
    </row>
    <row r="101" customFormat="false" ht="15" hidden="false" customHeight="false" outlineLevel="0" collapsed="false">
      <c r="A101" s="1" t="s">
        <v>211</v>
      </c>
      <c r="B101" s="1" t="s">
        <v>573</v>
      </c>
      <c r="C101" s="1" t="n">
        <v>2021</v>
      </c>
      <c r="D101" s="8" t="n">
        <v>0</v>
      </c>
      <c r="E101" s="8" t="n">
        <v>0.006</v>
      </c>
      <c r="F101" s="8" t="n">
        <v>0.014</v>
      </c>
      <c r="G101" s="8" t="n">
        <v>0.006</v>
      </c>
      <c r="H101" s="8" t="n">
        <v>0</v>
      </c>
      <c r="I101" s="8" t="n">
        <v>0.913</v>
      </c>
      <c r="J101" s="8" t="n">
        <v>0.061</v>
      </c>
    </row>
    <row r="102" customFormat="false" ht="15" hidden="false" customHeight="false" outlineLevel="0" collapsed="false">
      <c r="A102" s="1" t="s">
        <v>211</v>
      </c>
      <c r="B102" s="1" t="s">
        <v>573</v>
      </c>
      <c r="C102" s="1" t="n">
        <v>2020</v>
      </c>
      <c r="D102" s="8" t="n">
        <v>0</v>
      </c>
      <c r="E102" s="8" t="n">
        <v>0</v>
      </c>
      <c r="F102" s="8" t="n">
        <v>0</v>
      </c>
      <c r="G102" s="8" t="n">
        <v>0.001</v>
      </c>
      <c r="H102" s="8" t="n">
        <v>0.001</v>
      </c>
      <c r="I102" s="8" t="n">
        <v>0.955</v>
      </c>
      <c r="J102" s="8" t="n">
        <v>0.043</v>
      </c>
    </row>
    <row r="103" customFormat="false" ht="15" hidden="false" customHeight="false" outlineLevel="0" collapsed="false">
      <c r="A103" s="1" t="s">
        <v>211</v>
      </c>
      <c r="B103" s="1" t="s">
        <v>573</v>
      </c>
      <c r="C103" s="1" t="n">
        <v>2019</v>
      </c>
      <c r="D103" s="8" t="n">
        <v>0</v>
      </c>
      <c r="E103" s="8" t="n">
        <v>0.011</v>
      </c>
      <c r="F103" s="8" t="n">
        <v>0.002</v>
      </c>
      <c r="G103" s="8" t="n">
        <v>0.004</v>
      </c>
      <c r="H103" s="8" t="n">
        <v>0</v>
      </c>
      <c r="I103" s="8" t="n">
        <v>0.949</v>
      </c>
      <c r="J103" s="8" t="n">
        <v>0.034</v>
      </c>
    </row>
    <row r="104" customFormat="false" ht="15" hidden="false" customHeight="false" outlineLevel="0" collapsed="false">
      <c r="A104" s="1" t="s">
        <v>211</v>
      </c>
      <c r="B104" s="1" t="s">
        <v>570</v>
      </c>
      <c r="C104" s="1" t="n">
        <v>2024</v>
      </c>
      <c r="D104" s="8" t="n">
        <v>0.001</v>
      </c>
      <c r="E104" s="8" t="n">
        <v>0.371</v>
      </c>
      <c r="F104" s="8" t="n">
        <v>0.244</v>
      </c>
      <c r="G104" s="8" t="n">
        <v>0.121</v>
      </c>
      <c r="H104" s="8" t="n">
        <v>0.006</v>
      </c>
      <c r="I104" s="8" t="n">
        <v>0.231</v>
      </c>
      <c r="J104" s="8" t="n">
        <v>0.026</v>
      </c>
    </row>
    <row r="105" customFormat="false" ht="15" hidden="false" customHeight="false" outlineLevel="0" collapsed="false">
      <c r="A105" s="1" t="s">
        <v>211</v>
      </c>
      <c r="B105" s="1" t="s">
        <v>570</v>
      </c>
      <c r="C105" s="1" t="n">
        <v>2023</v>
      </c>
      <c r="D105" s="8" t="n">
        <v>0.002</v>
      </c>
      <c r="E105" s="8" t="n">
        <v>0.354</v>
      </c>
      <c r="F105" s="8" t="n">
        <v>0.25</v>
      </c>
      <c r="G105" s="8" t="n">
        <v>0.141</v>
      </c>
      <c r="H105" s="8" t="n">
        <v>0.007</v>
      </c>
      <c r="I105" s="8" t="n">
        <v>0.196</v>
      </c>
      <c r="J105" s="8" t="n">
        <v>0.048</v>
      </c>
    </row>
    <row r="106" customFormat="false" ht="15" hidden="false" customHeight="false" outlineLevel="0" collapsed="false">
      <c r="A106" s="1" t="s">
        <v>211</v>
      </c>
      <c r="B106" s="1" t="s">
        <v>570</v>
      </c>
      <c r="C106" s="1" t="n">
        <v>2022</v>
      </c>
      <c r="D106" s="8" t="n">
        <v>0.003</v>
      </c>
      <c r="E106" s="8" t="n">
        <v>0.275</v>
      </c>
      <c r="F106" s="8" t="n">
        <v>0.207</v>
      </c>
      <c r="G106" s="8" t="n">
        <v>0.151</v>
      </c>
      <c r="H106" s="8" t="n">
        <v>0.005</v>
      </c>
      <c r="I106" s="8" t="n">
        <v>0.295</v>
      </c>
      <c r="J106" s="8" t="n">
        <v>0.064</v>
      </c>
    </row>
    <row r="107" customFormat="false" ht="15" hidden="false" customHeight="false" outlineLevel="0" collapsed="false">
      <c r="A107" s="1" t="s">
        <v>211</v>
      </c>
      <c r="B107" s="1" t="s">
        <v>570</v>
      </c>
      <c r="C107" s="1" t="n">
        <v>2021</v>
      </c>
      <c r="D107" s="8" t="n">
        <v>0.007</v>
      </c>
      <c r="E107" s="8" t="n">
        <v>0.321</v>
      </c>
      <c r="F107" s="8" t="n">
        <v>0.242</v>
      </c>
      <c r="G107" s="8" t="n">
        <v>0.16</v>
      </c>
      <c r="H107" s="8" t="n">
        <v>0.003</v>
      </c>
      <c r="I107" s="8" t="n">
        <v>0.236</v>
      </c>
      <c r="J107" s="8" t="n">
        <v>0.031</v>
      </c>
    </row>
    <row r="108" customFormat="false" ht="15" hidden="false" customHeight="false" outlineLevel="0" collapsed="false">
      <c r="A108" s="1" t="s">
        <v>211</v>
      </c>
      <c r="B108" s="1" t="s">
        <v>570</v>
      </c>
      <c r="C108" s="1" t="n">
        <v>2020</v>
      </c>
      <c r="D108" s="8" t="n">
        <v>0.009</v>
      </c>
      <c r="E108" s="8" t="n">
        <v>0.251</v>
      </c>
      <c r="F108" s="8" t="n">
        <v>0.208</v>
      </c>
      <c r="G108" s="8" t="n">
        <v>0.106</v>
      </c>
      <c r="H108" s="8" t="n">
        <v>0.007</v>
      </c>
      <c r="I108" s="8" t="n">
        <v>0.279</v>
      </c>
      <c r="J108" s="8" t="n">
        <v>0.14</v>
      </c>
    </row>
    <row r="109" customFormat="false" ht="15" hidden="false" customHeight="false" outlineLevel="0" collapsed="false">
      <c r="A109" s="1" t="s">
        <v>211</v>
      </c>
      <c r="B109" s="1" t="s">
        <v>570</v>
      </c>
      <c r="C109" s="1" t="n">
        <v>2019</v>
      </c>
      <c r="D109" s="8" t="n">
        <v>0.006</v>
      </c>
      <c r="E109" s="8" t="n">
        <v>0.169</v>
      </c>
      <c r="F109" s="8" t="n">
        <v>0.17</v>
      </c>
      <c r="G109" s="8" t="n">
        <v>0.088</v>
      </c>
      <c r="H109" s="8" t="n">
        <v>0.012</v>
      </c>
      <c r="I109" s="8" t="n">
        <v>0.314</v>
      </c>
      <c r="J109" s="8" t="n">
        <v>0.24</v>
      </c>
    </row>
    <row r="110" customFormat="false" ht="15" hidden="false" customHeight="false" outlineLevel="0" collapsed="false">
      <c r="A110" s="1" t="s">
        <v>211</v>
      </c>
      <c r="B110" s="1" t="s">
        <v>574</v>
      </c>
      <c r="C110" s="1" t="n">
        <v>2024</v>
      </c>
      <c r="D110" s="8" t="s">
        <v>572</v>
      </c>
      <c r="E110" s="8" t="n">
        <v>0.384</v>
      </c>
      <c r="F110" s="8" t="n">
        <v>0.309</v>
      </c>
      <c r="G110" s="8" t="n">
        <v>0.164</v>
      </c>
      <c r="H110" s="8" t="n">
        <v>0.001</v>
      </c>
      <c r="I110" s="8" t="n">
        <v>0.135</v>
      </c>
      <c r="J110" s="8" t="n">
        <v>0.007</v>
      </c>
    </row>
    <row r="111" customFormat="false" ht="15" hidden="false" customHeight="false" outlineLevel="0" collapsed="false">
      <c r="A111" s="1" t="s">
        <v>211</v>
      </c>
      <c r="B111" s="1" t="s">
        <v>574</v>
      </c>
      <c r="C111" s="1" t="n">
        <v>2023</v>
      </c>
      <c r="D111" s="8" t="s">
        <v>572</v>
      </c>
      <c r="E111" s="8" t="n">
        <v>0.351</v>
      </c>
      <c r="F111" s="8" t="n">
        <v>0.297</v>
      </c>
      <c r="G111" s="8" t="n">
        <v>0.178</v>
      </c>
      <c r="H111" s="8" t="s">
        <v>572</v>
      </c>
      <c r="I111" s="8" t="n">
        <v>0.164</v>
      </c>
      <c r="J111" s="8" t="n">
        <v>0.009</v>
      </c>
    </row>
    <row r="112" customFormat="false" ht="15" hidden="false" customHeight="false" outlineLevel="0" collapsed="false">
      <c r="A112" s="1" t="s">
        <v>211</v>
      </c>
      <c r="B112" s="1" t="s">
        <v>574</v>
      </c>
      <c r="C112" s="1" t="n">
        <v>2022</v>
      </c>
      <c r="D112" s="8" t="s">
        <v>572</v>
      </c>
      <c r="E112" s="8" t="n">
        <v>0.332</v>
      </c>
      <c r="F112" s="8" t="n">
        <v>0.278</v>
      </c>
      <c r="G112" s="8" t="n">
        <v>0.197</v>
      </c>
      <c r="H112" s="8" t="s">
        <v>572</v>
      </c>
      <c r="I112" s="8" t="n">
        <v>0.185</v>
      </c>
      <c r="J112" s="8" t="n">
        <v>0.007</v>
      </c>
    </row>
    <row r="113" customFormat="false" ht="15" hidden="false" customHeight="false" outlineLevel="0" collapsed="false">
      <c r="A113" s="1" t="s">
        <v>211</v>
      </c>
      <c r="B113" s="1" t="s">
        <v>574</v>
      </c>
      <c r="C113" s="1" t="n">
        <v>2021</v>
      </c>
      <c r="D113" s="8" t="n">
        <v>0</v>
      </c>
      <c r="E113" s="8" t="n">
        <v>0.294</v>
      </c>
      <c r="F113" s="8" t="n">
        <v>0.315</v>
      </c>
      <c r="G113" s="8" t="n">
        <v>0.193</v>
      </c>
      <c r="H113" s="8" t="n">
        <v>0</v>
      </c>
      <c r="I113" s="8" t="n">
        <v>0.195</v>
      </c>
      <c r="J113" s="8" t="n">
        <v>0.004</v>
      </c>
    </row>
    <row r="114" customFormat="false" ht="15" hidden="false" customHeight="false" outlineLevel="0" collapsed="false">
      <c r="A114" s="1" t="s">
        <v>211</v>
      </c>
      <c r="B114" s="1" t="s">
        <v>574</v>
      </c>
      <c r="C114" s="1" t="n">
        <v>2020</v>
      </c>
      <c r="D114" s="8" t="s">
        <v>572</v>
      </c>
      <c r="E114" s="8" t="n">
        <v>0.238</v>
      </c>
      <c r="F114" s="8" t="n">
        <v>0.3</v>
      </c>
      <c r="G114" s="8" t="n">
        <v>0.17</v>
      </c>
      <c r="H114" s="8" t="n">
        <v>0.001</v>
      </c>
      <c r="I114" s="8" t="n">
        <v>0.287</v>
      </c>
      <c r="J114" s="8" t="n">
        <v>0.005</v>
      </c>
    </row>
    <row r="115" customFormat="false" ht="15" hidden="false" customHeight="false" outlineLevel="0" collapsed="false">
      <c r="A115" s="1" t="s">
        <v>211</v>
      </c>
      <c r="B115" s="1" t="s">
        <v>574</v>
      </c>
      <c r="C115" s="1" t="n">
        <v>2019</v>
      </c>
      <c r="D115" s="8" t="n">
        <v>0</v>
      </c>
      <c r="E115" s="8" t="n">
        <v>0.217</v>
      </c>
      <c r="F115" s="8" t="n">
        <v>0.295</v>
      </c>
      <c r="G115" s="8" t="n">
        <v>0.181</v>
      </c>
      <c r="H115" s="8" t="n">
        <v>0</v>
      </c>
      <c r="I115" s="8" t="n">
        <v>0.299</v>
      </c>
      <c r="J115" s="8" t="n">
        <v>0.008</v>
      </c>
    </row>
    <row r="116" customFormat="false" ht="15" hidden="false" customHeight="false" outlineLevel="0" collapsed="false">
      <c r="A116" s="1" t="s">
        <v>213</v>
      </c>
      <c r="B116" s="1" t="s">
        <v>568</v>
      </c>
      <c r="C116" s="1" t="n">
        <v>2024</v>
      </c>
      <c r="D116" s="8" t="n">
        <v>0</v>
      </c>
      <c r="E116" s="8" t="n">
        <v>0.037</v>
      </c>
      <c r="F116" s="8" t="n">
        <v>0.381</v>
      </c>
      <c r="G116" s="8" t="n">
        <v>0.572</v>
      </c>
      <c r="H116" s="8" t="n">
        <v>0.008</v>
      </c>
      <c r="I116" s="8" t="s">
        <v>572</v>
      </c>
      <c r="J116" s="8" t="n">
        <v>0.001</v>
      </c>
    </row>
    <row r="117" customFormat="false" ht="15" hidden="false" customHeight="false" outlineLevel="0" collapsed="false">
      <c r="A117" s="1" t="s">
        <v>213</v>
      </c>
      <c r="B117" s="1" t="s">
        <v>568</v>
      </c>
      <c r="C117" s="1" t="n">
        <v>2023</v>
      </c>
      <c r="D117" s="8" t="n">
        <v>0.002</v>
      </c>
      <c r="E117" s="8" t="n">
        <v>0.009</v>
      </c>
      <c r="F117" s="8" t="n">
        <v>0.383</v>
      </c>
      <c r="G117" s="8" t="n">
        <v>0.593</v>
      </c>
      <c r="H117" s="8" t="n">
        <v>0.012</v>
      </c>
      <c r="I117" s="8" t="n">
        <v>0.002</v>
      </c>
      <c r="J117" s="8" t="n">
        <v>0</v>
      </c>
    </row>
    <row r="118" customFormat="false" ht="15" hidden="false" customHeight="false" outlineLevel="0" collapsed="false">
      <c r="A118" s="1" t="s">
        <v>213</v>
      </c>
      <c r="B118" s="1" t="s">
        <v>568</v>
      </c>
      <c r="C118" s="1" t="n">
        <v>2022</v>
      </c>
      <c r="D118" s="8" t="n">
        <v>0</v>
      </c>
      <c r="E118" s="8" t="n">
        <v>0.008</v>
      </c>
      <c r="F118" s="8" t="n">
        <v>0.397</v>
      </c>
      <c r="G118" s="8" t="n">
        <v>0.588</v>
      </c>
      <c r="H118" s="8" t="n">
        <v>0.007</v>
      </c>
      <c r="I118" s="8" t="s">
        <v>572</v>
      </c>
      <c r="J118" s="8" t="s">
        <v>572</v>
      </c>
    </row>
    <row r="119" customFormat="false" ht="15" hidden="false" customHeight="false" outlineLevel="0" collapsed="false">
      <c r="A119" s="1" t="s">
        <v>213</v>
      </c>
      <c r="B119" s="1" t="s">
        <v>568</v>
      </c>
      <c r="C119" s="1" t="n">
        <v>2021</v>
      </c>
      <c r="D119" s="8" t="n">
        <v>0</v>
      </c>
      <c r="E119" s="8" t="n">
        <v>0.008</v>
      </c>
      <c r="F119" s="8" t="n">
        <v>0.354</v>
      </c>
      <c r="G119" s="8" t="n">
        <v>0.627</v>
      </c>
      <c r="H119" s="8" t="n">
        <v>0.007</v>
      </c>
      <c r="I119" s="8" t="n">
        <v>0.004</v>
      </c>
      <c r="J119" s="8" t="n">
        <v>0.001</v>
      </c>
    </row>
    <row r="120" customFormat="false" ht="15" hidden="false" customHeight="false" outlineLevel="0" collapsed="false">
      <c r="A120" s="1" t="s">
        <v>213</v>
      </c>
      <c r="B120" s="1" t="s">
        <v>568</v>
      </c>
      <c r="C120" s="1" t="n">
        <v>2020</v>
      </c>
      <c r="D120" s="8" t="n">
        <v>0</v>
      </c>
      <c r="E120" s="8" t="n">
        <v>0.005</v>
      </c>
      <c r="F120" s="8" t="n">
        <v>0.375</v>
      </c>
      <c r="G120" s="8" t="n">
        <v>0.601</v>
      </c>
      <c r="H120" s="8" t="n">
        <v>0.015</v>
      </c>
      <c r="I120" s="8" t="n">
        <v>0.005</v>
      </c>
      <c r="J120" s="8" t="s">
        <v>572</v>
      </c>
    </row>
    <row r="121" customFormat="false" ht="15" hidden="false" customHeight="false" outlineLevel="0" collapsed="false">
      <c r="A121" s="1" t="s">
        <v>213</v>
      </c>
      <c r="B121" s="1" t="s">
        <v>568</v>
      </c>
      <c r="C121" s="1" t="n">
        <v>2019</v>
      </c>
      <c r="D121" s="8" t="n">
        <v>0</v>
      </c>
      <c r="E121" s="8" t="n">
        <v>0.014</v>
      </c>
      <c r="F121" s="8" t="n">
        <v>0.369</v>
      </c>
      <c r="G121" s="8" t="n">
        <v>0.566</v>
      </c>
      <c r="H121" s="8" t="n">
        <v>0.021</v>
      </c>
      <c r="I121" s="8" t="n">
        <v>0.01</v>
      </c>
      <c r="J121" s="8" t="n">
        <v>0.021</v>
      </c>
    </row>
    <row r="122" customFormat="false" ht="15" hidden="false" customHeight="false" outlineLevel="0" collapsed="false">
      <c r="A122" s="1" t="s">
        <v>213</v>
      </c>
      <c r="B122" s="1" t="s">
        <v>577</v>
      </c>
      <c r="C122" s="1" t="n">
        <v>2024</v>
      </c>
      <c r="D122" s="8" t="n">
        <v>0.001</v>
      </c>
      <c r="E122" s="8" t="n">
        <v>0.011</v>
      </c>
      <c r="F122" s="8" t="n">
        <v>0.576</v>
      </c>
      <c r="G122" s="8" t="n">
        <v>0.378</v>
      </c>
      <c r="H122" s="8" t="n">
        <v>0.008</v>
      </c>
      <c r="I122" s="8" t="n">
        <v>0.025</v>
      </c>
      <c r="J122" s="8" t="n">
        <v>0.002</v>
      </c>
    </row>
    <row r="123" customFormat="false" ht="15" hidden="false" customHeight="false" outlineLevel="0" collapsed="false">
      <c r="A123" s="1" t="s">
        <v>213</v>
      </c>
      <c r="B123" s="1" t="s">
        <v>577</v>
      </c>
      <c r="C123" s="1" t="n">
        <v>2023</v>
      </c>
      <c r="D123" s="8" t="n">
        <v>0.001</v>
      </c>
      <c r="E123" s="8" t="n">
        <v>0.013</v>
      </c>
      <c r="F123" s="8" t="n">
        <v>0.576</v>
      </c>
      <c r="G123" s="8" t="n">
        <v>0.372</v>
      </c>
      <c r="H123" s="8" t="n">
        <v>0.009</v>
      </c>
      <c r="I123" s="8" t="n">
        <v>0.029</v>
      </c>
      <c r="J123" s="8" t="n">
        <v>0.001</v>
      </c>
    </row>
    <row r="124" customFormat="false" ht="15" hidden="false" customHeight="false" outlineLevel="0" collapsed="false">
      <c r="A124" s="1" t="s">
        <v>213</v>
      </c>
      <c r="B124" s="1" t="s">
        <v>577</v>
      </c>
      <c r="C124" s="1" t="n">
        <v>2022</v>
      </c>
      <c r="D124" s="8" t="n">
        <v>0.001</v>
      </c>
      <c r="E124" s="8" t="n">
        <v>0.011</v>
      </c>
      <c r="F124" s="8" t="n">
        <v>0.563</v>
      </c>
      <c r="G124" s="8" t="n">
        <v>0.383</v>
      </c>
      <c r="H124" s="8" t="n">
        <v>0.009</v>
      </c>
      <c r="I124" s="8" t="n">
        <v>0.032</v>
      </c>
      <c r="J124" s="8" t="n">
        <v>0.001</v>
      </c>
    </row>
    <row r="125" customFormat="false" ht="15" hidden="false" customHeight="false" outlineLevel="0" collapsed="false">
      <c r="A125" s="1" t="s">
        <v>213</v>
      </c>
      <c r="B125" s="1" t="s">
        <v>577</v>
      </c>
      <c r="C125" s="1" t="n">
        <v>2021</v>
      </c>
      <c r="D125" s="8" t="s">
        <v>572</v>
      </c>
      <c r="E125" s="8" t="n">
        <v>0.013</v>
      </c>
      <c r="F125" s="8" t="n">
        <v>0.556</v>
      </c>
      <c r="G125" s="8" t="n">
        <v>0.383</v>
      </c>
      <c r="H125" s="8" t="n">
        <v>0.008</v>
      </c>
      <c r="I125" s="8" t="n">
        <v>0.038</v>
      </c>
      <c r="J125" s="8" t="n">
        <v>0.001</v>
      </c>
    </row>
    <row r="126" customFormat="false" ht="15" hidden="false" customHeight="false" outlineLevel="0" collapsed="false">
      <c r="A126" s="1" t="s">
        <v>213</v>
      </c>
      <c r="B126" s="1" t="s">
        <v>577</v>
      </c>
      <c r="C126" s="1" t="n">
        <v>2020</v>
      </c>
      <c r="D126" s="8" t="s">
        <v>572</v>
      </c>
      <c r="E126" s="8" t="n">
        <v>0.013</v>
      </c>
      <c r="F126" s="8" t="n">
        <v>0.546</v>
      </c>
      <c r="G126" s="8" t="n">
        <v>0.381</v>
      </c>
      <c r="H126" s="8" t="n">
        <v>0.009</v>
      </c>
      <c r="I126" s="8" t="n">
        <v>0.049</v>
      </c>
      <c r="J126" s="8" t="n">
        <v>0.001</v>
      </c>
    </row>
    <row r="127" customFormat="false" ht="15" hidden="false" customHeight="false" outlineLevel="0" collapsed="false">
      <c r="A127" s="1" t="s">
        <v>213</v>
      </c>
      <c r="B127" s="1" t="s">
        <v>577</v>
      </c>
      <c r="C127" s="1" t="n">
        <v>2019</v>
      </c>
      <c r="D127" s="8" t="n">
        <v>0.001</v>
      </c>
      <c r="E127" s="8" t="n">
        <v>0.014</v>
      </c>
      <c r="F127" s="8" t="n">
        <v>0.524</v>
      </c>
      <c r="G127" s="8" t="n">
        <v>0.392</v>
      </c>
      <c r="H127" s="8" t="n">
        <v>0.009</v>
      </c>
      <c r="I127" s="8" t="n">
        <v>0.06</v>
      </c>
      <c r="J127" s="8" t="n">
        <v>0.001</v>
      </c>
    </row>
    <row r="128" customFormat="false" ht="15" hidden="false" customHeight="false" outlineLevel="0" collapsed="false">
      <c r="A128" s="1" t="s">
        <v>213</v>
      </c>
      <c r="B128" s="1" t="s">
        <v>573</v>
      </c>
      <c r="C128" s="1" t="n">
        <v>2024</v>
      </c>
      <c r="D128" s="8" t="n">
        <v>0</v>
      </c>
      <c r="E128" s="8" t="n">
        <v>0</v>
      </c>
      <c r="F128" s="8" t="n">
        <v>0.022</v>
      </c>
      <c r="G128" s="8" t="n">
        <v>0.026</v>
      </c>
      <c r="H128" s="8" t="n">
        <v>0.001</v>
      </c>
      <c r="I128" s="8" t="n">
        <v>0.934</v>
      </c>
      <c r="J128" s="8" t="n">
        <v>0.017</v>
      </c>
    </row>
    <row r="129" customFormat="false" ht="15" hidden="false" customHeight="false" outlineLevel="0" collapsed="false">
      <c r="A129" s="1" t="s">
        <v>213</v>
      </c>
      <c r="B129" s="1" t="s">
        <v>573</v>
      </c>
      <c r="C129" s="1" t="n">
        <v>2023</v>
      </c>
      <c r="D129" s="8" t="n">
        <v>0</v>
      </c>
      <c r="E129" s="8" t="n">
        <v>0</v>
      </c>
      <c r="F129" s="8" t="n">
        <v>0.023</v>
      </c>
      <c r="G129" s="8" t="n">
        <v>0.042</v>
      </c>
      <c r="H129" s="8" t="n">
        <v>0.003</v>
      </c>
      <c r="I129" s="8" t="n">
        <v>0.896</v>
      </c>
      <c r="J129" s="8" t="n">
        <v>0.036</v>
      </c>
    </row>
    <row r="130" customFormat="false" ht="15" hidden="false" customHeight="false" outlineLevel="0" collapsed="false">
      <c r="A130" s="1" t="s">
        <v>213</v>
      </c>
      <c r="B130" s="1" t="s">
        <v>573</v>
      </c>
      <c r="C130" s="1" t="n">
        <v>2022</v>
      </c>
      <c r="D130" s="8" t="n">
        <v>0</v>
      </c>
      <c r="E130" s="8" t="n">
        <v>0.001</v>
      </c>
      <c r="F130" s="8" t="n">
        <v>0.005</v>
      </c>
      <c r="G130" s="8" t="n">
        <v>0.016</v>
      </c>
      <c r="H130" s="8" t="n">
        <v>0</v>
      </c>
      <c r="I130" s="8" t="n">
        <v>0.949</v>
      </c>
      <c r="J130" s="8" t="n">
        <v>0.028</v>
      </c>
    </row>
    <row r="131" customFormat="false" ht="15" hidden="false" customHeight="false" outlineLevel="0" collapsed="false">
      <c r="A131" s="1" t="s">
        <v>213</v>
      </c>
      <c r="B131" s="1" t="s">
        <v>573</v>
      </c>
      <c r="C131" s="1" t="n">
        <v>2021</v>
      </c>
      <c r="D131" s="8" t="n">
        <v>0</v>
      </c>
      <c r="E131" s="8" t="n">
        <v>0.004</v>
      </c>
      <c r="F131" s="8" t="n">
        <v>0.01</v>
      </c>
      <c r="G131" s="8" t="n">
        <v>0.031</v>
      </c>
      <c r="H131" s="8" t="n">
        <v>0.001</v>
      </c>
      <c r="I131" s="8" t="n">
        <v>0.936</v>
      </c>
      <c r="J131" s="8" t="n">
        <v>0.019</v>
      </c>
    </row>
    <row r="132" customFormat="false" ht="15" hidden="false" customHeight="false" outlineLevel="0" collapsed="false">
      <c r="A132" s="1" t="s">
        <v>213</v>
      </c>
      <c r="B132" s="1" t="s">
        <v>573</v>
      </c>
      <c r="C132" s="1" t="n">
        <v>2020</v>
      </c>
      <c r="D132" s="8" t="n">
        <v>0</v>
      </c>
      <c r="E132" s="8" t="n">
        <v>0</v>
      </c>
      <c r="F132" s="8" t="n">
        <v>0.005</v>
      </c>
      <c r="G132" s="8" t="n">
        <v>0.009</v>
      </c>
      <c r="H132" s="8" t="n">
        <v>0.001</v>
      </c>
      <c r="I132" s="8" t="n">
        <v>0.975</v>
      </c>
      <c r="J132" s="8" t="n">
        <v>0.011</v>
      </c>
    </row>
    <row r="133" customFormat="false" ht="15" hidden="false" customHeight="false" outlineLevel="0" collapsed="false">
      <c r="A133" s="1" t="s">
        <v>213</v>
      </c>
      <c r="B133" s="1" t="s">
        <v>573</v>
      </c>
      <c r="C133" s="1" t="n">
        <v>2019</v>
      </c>
      <c r="D133" s="8" t="n">
        <v>0</v>
      </c>
      <c r="E133" s="8" t="n">
        <v>0</v>
      </c>
      <c r="F133" s="8" t="s">
        <v>572</v>
      </c>
      <c r="G133" s="8" t="n">
        <v>0.003</v>
      </c>
      <c r="H133" s="8" t="n">
        <v>0</v>
      </c>
      <c r="I133" s="8" t="n">
        <v>0.979</v>
      </c>
      <c r="J133" s="8" t="n">
        <v>0.018</v>
      </c>
    </row>
    <row r="134" customFormat="false" ht="15" hidden="false" customHeight="false" outlineLevel="0" collapsed="false">
      <c r="A134" s="1" t="s">
        <v>213</v>
      </c>
      <c r="B134" s="1" t="s">
        <v>570</v>
      </c>
      <c r="C134" s="1" t="n">
        <v>2024</v>
      </c>
      <c r="D134" s="8" t="n">
        <v>0</v>
      </c>
      <c r="E134" s="8" t="n">
        <v>0.018</v>
      </c>
      <c r="F134" s="8" t="n">
        <v>0.304</v>
      </c>
      <c r="G134" s="8" t="n">
        <v>0.393</v>
      </c>
      <c r="H134" s="8" t="n">
        <v>0.004</v>
      </c>
      <c r="I134" s="8" t="n">
        <v>0.225</v>
      </c>
      <c r="J134" s="8" t="n">
        <v>0.056</v>
      </c>
    </row>
    <row r="135" customFormat="false" ht="15" hidden="false" customHeight="false" outlineLevel="0" collapsed="false">
      <c r="A135" s="1" t="s">
        <v>213</v>
      </c>
      <c r="B135" s="1" t="s">
        <v>570</v>
      </c>
      <c r="C135" s="1" t="n">
        <v>2023</v>
      </c>
      <c r="D135" s="8" t="n">
        <v>0</v>
      </c>
      <c r="E135" s="8" t="n">
        <v>0.019</v>
      </c>
      <c r="F135" s="8" t="n">
        <v>0.305</v>
      </c>
      <c r="G135" s="8" t="n">
        <v>0.415</v>
      </c>
      <c r="H135" s="8" t="n">
        <v>0.002</v>
      </c>
      <c r="I135" s="8" t="n">
        <v>0.192</v>
      </c>
      <c r="J135" s="8" t="n">
        <v>0.068</v>
      </c>
    </row>
    <row r="136" customFormat="false" ht="15" hidden="false" customHeight="false" outlineLevel="0" collapsed="false">
      <c r="A136" s="1" t="s">
        <v>213</v>
      </c>
      <c r="B136" s="1" t="s">
        <v>570</v>
      </c>
      <c r="C136" s="1" t="n">
        <v>2022</v>
      </c>
      <c r="D136" s="8" t="n">
        <v>0</v>
      </c>
      <c r="E136" s="8" t="n">
        <v>0.012</v>
      </c>
      <c r="F136" s="8" t="n">
        <v>0.228</v>
      </c>
      <c r="G136" s="8" t="n">
        <v>0.395</v>
      </c>
      <c r="H136" s="8" t="n">
        <v>0.004</v>
      </c>
      <c r="I136" s="8" t="n">
        <v>0.266</v>
      </c>
      <c r="J136" s="8" t="n">
        <v>0.095</v>
      </c>
    </row>
    <row r="137" customFormat="false" ht="15" hidden="false" customHeight="false" outlineLevel="0" collapsed="false">
      <c r="A137" s="1" t="s">
        <v>213</v>
      </c>
      <c r="B137" s="1" t="s">
        <v>570</v>
      </c>
      <c r="C137" s="1" t="n">
        <v>2021</v>
      </c>
      <c r="D137" s="8" t="n">
        <v>0</v>
      </c>
      <c r="E137" s="8" t="n">
        <v>0.014</v>
      </c>
      <c r="F137" s="8" t="n">
        <v>0.236</v>
      </c>
      <c r="G137" s="8" t="n">
        <v>0.366</v>
      </c>
      <c r="H137" s="8" t="n">
        <v>0.006</v>
      </c>
      <c r="I137" s="8" t="n">
        <v>0.29</v>
      </c>
      <c r="J137" s="8" t="n">
        <v>0.088</v>
      </c>
    </row>
    <row r="138" customFormat="false" ht="15" hidden="false" customHeight="false" outlineLevel="0" collapsed="false">
      <c r="A138" s="1" t="s">
        <v>213</v>
      </c>
      <c r="B138" s="1" t="s">
        <v>570</v>
      </c>
      <c r="C138" s="1" t="n">
        <v>2020</v>
      </c>
      <c r="D138" s="8" t="n">
        <v>0</v>
      </c>
      <c r="E138" s="8" t="n">
        <v>0.019</v>
      </c>
      <c r="F138" s="8" t="n">
        <v>0.208</v>
      </c>
      <c r="G138" s="8" t="n">
        <v>0.308</v>
      </c>
      <c r="H138" s="8" t="n">
        <v>0.002</v>
      </c>
      <c r="I138" s="8" t="n">
        <v>0.38</v>
      </c>
      <c r="J138" s="8" t="n">
        <v>0.084</v>
      </c>
    </row>
    <row r="139" customFormat="false" ht="15" hidden="false" customHeight="false" outlineLevel="0" collapsed="false">
      <c r="A139" s="1" t="s">
        <v>213</v>
      </c>
      <c r="B139" s="1" t="s">
        <v>570</v>
      </c>
      <c r="C139" s="1" t="n">
        <v>2019</v>
      </c>
      <c r="D139" s="8" t="n">
        <v>0</v>
      </c>
      <c r="E139" s="8" t="n">
        <v>0.01</v>
      </c>
      <c r="F139" s="8" t="n">
        <v>0.128</v>
      </c>
      <c r="G139" s="8" t="n">
        <v>0.273</v>
      </c>
      <c r="H139" s="8" t="n">
        <v>0.003</v>
      </c>
      <c r="I139" s="8" t="n">
        <v>0.417</v>
      </c>
      <c r="J139" s="8" t="n">
        <v>0.169</v>
      </c>
    </row>
    <row r="140" customFormat="false" ht="15" hidden="false" customHeight="false" outlineLevel="0" collapsed="false">
      <c r="A140" s="1" t="s">
        <v>213</v>
      </c>
      <c r="B140" s="1" t="s">
        <v>574</v>
      </c>
      <c r="C140" s="1" t="n">
        <v>2024</v>
      </c>
      <c r="D140" s="8" t="n">
        <v>0</v>
      </c>
      <c r="E140" s="8" t="n">
        <v>0</v>
      </c>
      <c r="F140" s="8" t="n">
        <v>0.115</v>
      </c>
      <c r="G140" s="8" t="n">
        <v>0.061</v>
      </c>
      <c r="H140" s="8" t="n">
        <v>0</v>
      </c>
      <c r="I140" s="8" t="n">
        <v>0.824</v>
      </c>
      <c r="J140" s="8" t="n">
        <v>0</v>
      </c>
    </row>
    <row r="141" customFormat="false" ht="15" hidden="false" customHeight="false" outlineLevel="0" collapsed="false">
      <c r="A141" s="1" t="s">
        <v>213</v>
      </c>
      <c r="B141" s="1" t="s">
        <v>574</v>
      </c>
      <c r="C141" s="1" t="n">
        <v>2023</v>
      </c>
      <c r="D141" s="8" t="n">
        <v>0</v>
      </c>
      <c r="E141" s="8" t="n">
        <v>0</v>
      </c>
      <c r="F141" s="8" t="n">
        <v>0.214</v>
      </c>
      <c r="G141" s="8" t="n">
        <v>0.056</v>
      </c>
      <c r="H141" s="8" t="n">
        <v>0</v>
      </c>
      <c r="I141" s="8" t="n">
        <v>0.73</v>
      </c>
      <c r="J141" s="8" t="n">
        <v>0</v>
      </c>
    </row>
    <row r="142" customFormat="false" ht="15" hidden="false" customHeight="false" outlineLevel="0" collapsed="false">
      <c r="A142" s="1" t="s">
        <v>213</v>
      </c>
      <c r="B142" s="1" t="s">
        <v>574</v>
      </c>
      <c r="C142" s="1" t="n">
        <v>2022</v>
      </c>
      <c r="D142" s="8" t="n">
        <v>0</v>
      </c>
      <c r="E142" s="8" t="n">
        <v>0</v>
      </c>
      <c r="F142" s="8" t="n">
        <v>0.083</v>
      </c>
      <c r="G142" s="8" t="n">
        <v>0.005</v>
      </c>
      <c r="H142" s="8" t="n">
        <v>0</v>
      </c>
      <c r="I142" s="8" t="n">
        <v>0.913</v>
      </c>
      <c r="J142" s="8" t="n">
        <v>0</v>
      </c>
    </row>
    <row r="143" customFormat="false" ht="15" hidden="false" customHeight="false" outlineLevel="0" collapsed="false">
      <c r="A143" s="1" t="s">
        <v>213</v>
      </c>
      <c r="B143" s="1" t="s">
        <v>574</v>
      </c>
      <c r="C143" s="1" t="n">
        <v>2021</v>
      </c>
      <c r="D143" s="8" t="n">
        <v>0</v>
      </c>
      <c r="E143" s="8" t="n">
        <v>0</v>
      </c>
      <c r="F143" s="8" t="n">
        <v>0.097</v>
      </c>
      <c r="G143" s="8" t="n">
        <v>0.081</v>
      </c>
      <c r="H143" s="8" t="n">
        <v>0</v>
      </c>
      <c r="I143" s="8" t="n">
        <v>0.822</v>
      </c>
      <c r="J143" s="8" t="n">
        <v>0</v>
      </c>
    </row>
    <row r="144" customFormat="false" ht="15" hidden="false" customHeight="false" outlineLevel="0" collapsed="false">
      <c r="A144" s="1" t="s">
        <v>213</v>
      </c>
      <c r="B144" s="1" t="s">
        <v>574</v>
      </c>
      <c r="C144" s="1" t="n">
        <v>2020</v>
      </c>
      <c r="D144" s="8" t="n">
        <v>0</v>
      </c>
      <c r="E144" s="8" t="n">
        <v>0</v>
      </c>
      <c r="F144" s="8" t="n">
        <v>0</v>
      </c>
      <c r="G144" s="8" t="n">
        <v>0</v>
      </c>
      <c r="H144" s="8" t="n">
        <v>0</v>
      </c>
      <c r="I144" s="8" t="n">
        <v>1</v>
      </c>
      <c r="J144" s="8" t="n">
        <v>0</v>
      </c>
    </row>
    <row r="145" customFormat="false" ht="15" hidden="false" customHeight="false" outlineLevel="0" collapsed="false">
      <c r="A145" s="1" t="s">
        <v>213</v>
      </c>
      <c r="B145" s="1" t="s">
        <v>574</v>
      </c>
      <c r="C145" s="1" t="n">
        <v>2019</v>
      </c>
      <c r="D145" s="8" t="n">
        <v>0</v>
      </c>
      <c r="E145" s="8" t="n">
        <v>0</v>
      </c>
      <c r="F145" s="8" t="n">
        <v>0</v>
      </c>
      <c r="G145" s="8" t="n">
        <v>0</v>
      </c>
      <c r="H145" s="8" t="n">
        <v>0</v>
      </c>
      <c r="I145" s="8" t="n">
        <v>1</v>
      </c>
      <c r="J145" s="8" t="n">
        <v>0</v>
      </c>
    </row>
    <row r="146" customFormat="false" ht="15" hidden="false" customHeight="false" outlineLevel="0" collapsed="false">
      <c r="A146" s="1" t="s">
        <v>246</v>
      </c>
      <c r="B146" s="1" t="s">
        <v>578</v>
      </c>
      <c r="C146" s="1" t="n">
        <v>2024</v>
      </c>
      <c r="D146" s="8" t="s">
        <v>572</v>
      </c>
      <c r="E146" s="8" t="n">
        <v>0.001</v>
      </c>
      <c r="F146" s="8" t="n">
        <v>0.018</v>
      </c>
      <c r="G146" s="8" t="n">
        <v>0.955</v>
      </c>
      <c r="H146" s="8" t="n">
        <v>0.018</v>
      </c>
      <c r="I146" s="8" t="n">
        <v>0.003</v>
      </c>
      <c r="J146" s="8" t="n">
        <v>0.006</v>
      </c>
    </row>
    <row r="147" customFormat="false" ht="15" hidden="false" customHeight="false" outlineLevel="0" collapsed="false">
      <c r="A147" s="1" t="s">
        <v>246</v>
      </c>
      <c r="B147" s="1" t="s">
        <v>578</v>
      </c>
      <c r="C147" s="1" t="n">
        <v>2023</v>
      </c>
      <c r="D147" s="8" t="n">
        <v>0.001</v>
      </c>
      <c r="E147" s="8" t="n">
        <v>0.001</v>
      </c>
      <c r="F147" s="8" t="n">
        <v>0.016</v>
      </c>
      <c r="G147" s="8" t="n">
        <v>0.955</v>
      </c>
      <c r="H147" s="8" t="n">
        <v>0.02</v>
      </c>
      <c r="I147" s="8" t="n">
        <v>0.003</v>
      </c>
      <c r="J147" s="8" t="n">
        <v>0.004</v>
      </c>
    </row>
    <row r="148" customFormat="false" ht="15" hidden="false" customHeight="false" outlineLevel="0" collapsed="false">
      <c r="A148" s="1" t="s">
        <v>246</v>
      </c>
      <c r="B148" s="1" t="s">
        <v>578</v>
      </c>
      <c r="C148" s="1" t="n">
        <v>2022</v>
      </c>
      <c r="D148" s="8" t="n">
        <v>0.001</v>
      </c>
      <c r="E148" s="8" t="s">
        <v>572</v>
      </c>
      <c r="F148" s="8" t="n">
        <v>0.018</v>
      </c>
      <c r="G148" s="8" t="n">
        <v>0.954</v>
      </c>
      <c r="H148" s="8" t="n">
        <v>0.02</v>
      </c>
      <c r="I148" s="8" t="n">
        <v>0.002</v>
      </c>
      <c r="J148" s="8" t="n">
        <v>0.004</v>
      </c>
    </row>
    <row r="149" customFormat="false" ht="15" hidden="false" customHeight="false" outlineLevel="0" collapsed="false">
      <c r="A149" s="1" t="s">
        <v>246</v>
      </c>
      <c r="B149" s="1" t="s">
        <v>578</v>
      </c>
      <c r="C149" s="1" t="n">
        <v>2021</v>
      </c>
      <c r="D149" s="8" t="s">
        <v>572</v>
      </c>
      <c r="E149" s="8" t="n">
        <v>0.001</v>
      </c>
      <c r="F149" s="8" t="n">
        <v>0.019</v>
      </c>
      <c r="G149" s="8" t="n">
        <v>0.955</v>
      </c>
      <c r="H149" s="8" t="n">
        <v>0.018</v>
      </c>
      <c r="I149" s="8" t="n">
        <v>0.001</v>
      </c>
      <c r="J149" s="8" t="n">
        <v>0.005</v>
      </c>
    </row>
    <row r="150" customFormat="false" ht="15" hidden="false" customHeight="false" outlineLevel="0" collapsed="false">
      <c r="A150" s="1" t="s">
        <v>246</v>
      </c>
      <c r="B150" s="1" t="s">
        <v>578</v>
      </c>
      <c r="C150" s="1" t="n">
        <v>2020</v>
      </c>
      <c r="D150" s="8" t="n">
        <v>0.001</v>
      </c>
      <c r="E150" s="8" t="n">
        <v>0.002</v>
      </c>
      <c r="F150" s="8" t="n">
        <v>0.02</v>
      </c>
      <c r="G150" s="8" t="n">
        <v>0.952</v>
      </c>
      <c r="H150" s="8" t="n">
        <v>0.018</v>
      </c>
      <c r="I150" s="8" t="n">
        <v>0.003</v>
      </c>
      <c r="J150" s="8" t="n">
        <v>0.005</v>
      </c>
    </row>
    <row r="151" customFormat="false" ht="15" hidden="false" customHeight="false" outlineLevel="0" collapsed="false">
      <c r="A151" s="1" t="s">
        <v>246</v>
      </c>
      <c r="B151" s="1" t="s">
        <v>578</v>
      </c>
      <c r="C151" s="1" t="n">
        <v>2019</v>
      </c>
      <c r="D151" s="8" t="n">
        <v>0.001</v>
      </c>
      <c r="E151" s="8" t="n">
        <v>0.001</v>
      </c>
      <c r="F151" s="8" t="n">
        <v>0.017</v>
      </c>
      <c r="G151" s="8" t="n">
        <v>0.955</v>
      </c>
      <c r="H151" s="8" t="n">
        <v>0.018</v>
      </c>
      <c r="I151" s="8" t="n">
        <v>0.002</v>
      </c>
      <c r="J151" s="8" t="n">
        <v>0.005</v>
      </c>
    </row>
    <row r="152" customFormat="false" ht="15" hidden="false" customHeight="false" outlineLevel="0" collapsed="false">
      <c r="A152" s="1" t="s">
        <v>246</v>
      </c>
      <c r="B152" s="1" t="s">
        <v>568</v>
      </c>
      <c r="C152" s="1" t="n">
        <v>2024</v>
      </c>
      <c r="D152" s="8" t="n">
        <v>0.059</v>
      </c>
      <c r="E152" s="8" t="n">
        <v>0</v>
      </c>
      <c r="F152" s="8" t="n">
        <v>0</v>
      </c>
      <c r="G152" s="8" t="n">
        <v>0.765</v>
      </c>
      <c r="H152" s="8" t="n">
        <v>0.176</v>
      </c>
      <c r="I152" s="8" t="n">
        <v>0</v>
      </c>
      <c r="J152" s="8" t="n">
        <v>0</v>
      </c>
    </row>
    <row r="153" customFormat="false" ht="15" hidden="false" customHeight="false" outlineLevel="0" collapsed="false">
      <c r="A153" s="1" t="s">
        <v>246</v>
      </c>
      <c r="B153" s="1" t="s">
        <v>579</v>
      </c>
      <c r="C153" s="1" t="n">
        <v>2024</v>
      </c>
      <c r="D153" s="8" t="n">
        <v>0</v>
      </c>
      <c r="E153" s="8" t="n">
        <v>0</v>
      </c>
      <c r="F153" s="8" t="n">
        <v>0</v>
      </c>
      <c r="G153" s="8" t="n">
        <v>1</v>
      </c>
      <c r="H153" s="8" t="n">
        <v>0</v>
      </c>
      <c r="I153" s="8" t="n">
        <v>0</v>
      </c>
      <c r="J153" s="8" t="n">
        <v>0</v>
      </c>
    </row>
    <row r="154" customFormat="false" ht="15" hidden="false" customHeight="false" outlineLevel="0" collapsed="false">
      <c r="A154" s="1" t="s">
        <v>246</v>
      </c>
      <c r="B154" s="1" t="s">
        <v>579</v>
      </c>
      <c r="C154" s="1" t="n">
        <v>2023</v>
      </c>
      <c r="D154" s="8" t="n">
        <v>0</v>
      </c>
      <c r="E154" s="8" t="n">
        <v>0</v>
      </c>
      <c r="F154" s="8" t="n">
        <v>0</v>
      </c>
      <c r="G154" s="8" t="n">
        <v>1</v>
      </c>
      <c r="H154" s="8" t="n">
        <v>0</v>
      </c>
      <c r="I154" s="8" t="n">
        <v>0</v>
      </c>
      <c r="J154" s="8" t="n">
        <v>0</v>
      </c>
    </row>
    <row r="155" customFormat="false" ht="15" hidden="false" customHeight="false" outlineLevel="0" collapsed="false">
      <c r="A155" s="1" t="s">
        <v>246</v>
      </c>
      <c r="B155" s="1" t="s">
        <v>579</v>
      </c>
      <c r="C155" s="1" t="n">
        <v>2022</v>
      </c>
      <c r="D155" s="8" t="n">
        <v>0</v>
      </c>
      <c r="E155" s="8" t="n">
        <v>0</v>
      </c>
      <c r="F155" s="8" t="n">
        <v>0</v>
      </c>
      <c r="G155" s="8" t="n">
        <v>1</v>
      </c>
      <c r="H155" s="8" t="n">
        <v>0</v>
      </c>
      <c r="I155" s="8" t="n">
        <v>0</v>
      </c>
      <c r="J155" s="8" t="n">
        <v>0</v>
      </c>
    </row>
    <row r="156" customFormat="false" ht="15" hidden="false" customHeight="false" outlineLevel="0" collapsed="false">
      <c r="A156" s="1" t="s">
        <v>246</v>
      </c>
      <c r="B156" s="1" t="s">
        <v>579</v>
      </c>
      <c r="C156" s="1" t="n">
        <v>2021</v>
      </c>
      <c r="D156" s="8" t="n">
        <v>0</v>
      </c>
      <c r="E156" s="8" t="n">
        <v>0</v>
      </c>
      <c r="F156" s="8" t="n">
        <v>0</v>
      </c>
      <c r="G156" s="8" t="n">
        <v>1</v>
      </c>
      <c r="H156" s="8" t="n">
        <v>0</v>
      </c>
      <c r="I156" s="8" t="n">
        <v>0</v>
      </c>
      <c r="J156" s="8" t="n">
        <v>0</v>
      </c>
    </row>
    <row r="157" customFormat="false" ht="15" hidden="false" customHeight="false" outlineLevel="0" collapsed="false">
      <c r="A157" s="1" t="s">
        <v>246</v>
      </c>
      <c r="B157" s="1" t="s">
        <v>579</v>
      </c>
      <c r="C157" s="1" t="n">
        <v>2020</v>
      </c>
      <c r="D157" s="8" t="n">
        <v>0</v>
      </c>
      <c r="E157" s="8" t="n">
        <v>0</v>
      </c>
      <c r="F157" s="8" t="n">
        <v>0</v>
      </c>
      <c r="G157" s="8" t="n">
        <v>0.993</v>
      </c>
      <c r="H157" s="8" t="n">
        <v>0.007</v>
      </c>
      <c r="I157" s="8" t="n">
        <v>0</v>
      </c>
      <c r="J157" s="8" t="n">
        <v>0</v>
      </c>
    </row>
    <row r="158" customFormat="false" ht="15" hidden="false" customHeight="false" outlineLevel="0" collapsed="false">
      <c r="A158" s="1" t="s">
        <v>246</v>
      </c>
      <c r="B158" s="1" t="s">
        <v>579</v>
      </c>
      <c r="C158" s="1" t="n">
        <v>2019</v>
      </c>
      <c r="D158" s="8" t="n">
        <v>0</v>
      </c>
      <c r="E158" s="8" t="n">
        <v>0</v>
      </c>
      <c r="F158" s="8" t="n">
        <v>0</v>
      </c>
      <c r="G158" s="8" t="n">
        <v>1</v>
      </c>
      <c r="H158" s="8" t="n">
        <v>0</v>
      </c>
      <c r="I158" s="8" t="n">
        <v>0</v>
      </c>
      <c r="J158" s="8"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45 A1"/>
    </sheetView>
  </sheetViews>
  <sheetFormatPr defaultColWidth="11.078125" defaultRowHeight="15" zeroHeight="false" outlineLevelRow="0" outlineLevelCol="0"/>
  <cols>
    <col collapsed="false" customWidth="true" hidden="false" outlineLevel="0" max="1" min="1" style="1" width="13.69"/>
    <col collapsed="false" customWidth="true" hidden="false" outlineLevel="0" max="2" min="2" style="1" width="95.69"/>
  </cols>
  <sheetData>
    <row r="1" customFormat="false" ht="30" hidden="false" customHeight="true" outlineLevel="0" collapsed="false">
      <c r="A1" s="2" t="s">
        <v>580</v>
      </c>
    </row>
    <row r="2" customFormat="false" ht="15" hidden="false" customHeight="false" outlineLevel="0" collapsed="false">
      <c r="A2" s="1" t="s">
        <v>7</v>
      </c>
    </row>
    <row r="3" customFormat="false" ht="15" hidden="false" customHeight="false" outlineLevel="0" collapsed="false">
      <c r="A3" s="6" t="s">
        <v>581</v>
      </c>
      <c r="B3" s="6" t="s">
        <v>582</v>
      </c>
    </row>
    <row r="4" customFormat="false" ht="56" hidden="false" customHeight="false" outlineLevel="0" collapsed="false">
      <c r="A4" s="18" t="s">
        <v>583</v>
      </c>
      <c r="B4" s="18" t="s">
        <v>584</v>
      </c>
    </row>
    <row r="5" customFormat="false" ht="56" hidden="false" customHeight="false" outlineLevel="0" collapsed="false">
      <c r="A5" s="18" t="s">
        <v>585</v>
      </c>
      <c r="B5" s="18" t="s">
        <v>586</v>
      </c>
    </row>
    <row r="6" customFormat="false" ht="29" hidden="false" customHeight="false" outlineLevel="0" collapsed="false">
      <c r="A6" s="18" t="s">
        <v>587</v>
      </c>
      <c r="B6" s="18" t="s">
        <v>588</v>
      </c>
    </row>
    <row r="7" customFormat="false" ht="56" hidden="false" customHeight="false" outlineLevel="0" collapsed="false">
      <c r="A7" s="18" t="s">
        <v>589</v>
      </c>
      <c r="B7" s="18" t="s">
        <v>590</v>
      </c>
    </row>
    <row r="8" customFormat="false" ht="42.5" hidden="false" customHeight="false" outlineLevel="0" collapsed="false">
      <c r="A8" s="18" t="s">
        <v>591</v>
      </c>
      <c r="B8" s="18" t="s">
        <v>592</v>
      </c>
    </row>
    <row r="9" customFormat="false" ht="56" hidden="false" customHeight="false" outlineLevel="0" collapsed="false">
      <c r="A9" s="18" t="s">
        <v>593</v>
      </c>
      <c r="B9" s="18" t="s">
        <v>594</v>
      </c>
    </row>
    <row r="10" customFormat="false" ht="69.5" hidden="false" customHeight="false" outlineLevel="0" collapsed="false">
      <c r="A10" s="18" t="s">
        <v>595</v>
      </c>
      <c r="B10" s="18" t="s">
        <v>596</v>
      </c>
    </row>
    <row r="11" customFormat="false" ht="56" hidden="false" customHeight="false" outlineLevel="0" collapsed="false">
      <c r="A11" s="18" t="s">
        <v>597</v>
      </c>
      <c r="B11" s="18" t="s">
        <v>598</v>
      </c>
    </row>
    <row r="12" customFormat="false" ht="42.5" hidden="false" customHeight="false" outlineLevel="0" collapsed="false">
      <c r="A12" s="18" t="s">
        <v>599</v>
      </c>
      <c r="B12" s="18" t="s">
        <v>600</v>
      </c>
    </row>
    <row r="13" customFormat="false" ht="29" hidden="false" customHeight="false" outlineLevel="0" collapsed="false">
      <c r="A13" s="18" t="s">
        <v>601</v>
      </c>
      <c r="B13" s="18" t="s">
        <v>602</v>
      </c>
    </row>
    <row r="14" customFormat="false" ht="15.5" hidden="false" customHeight="false" outlineLevel="0" collapsed="false">
      <c r="A14" s="18" t="s">
        <v>603</v>
      </c>
      <c r="B14" s="18" t="s">
        <v>604</v>
      </c>
    </row>
    <row r="15" customFormat="false" ht="15.5" hidden="false" customHeight="false" outlineLevel="0" collapsed="false">
      <c r="A15" s="18" t="s">
        <v>605</v>
      </c>
      <c r="B15" s="19" t="str">
        <f aca="false">HYPERLINK("https://www.sqa.org.uk/sqa/111108.html", "Refer to the background information document for additional information such as data sources, methodology and limitations.")</f>
        <v>Refer to the background information document for additional information such as data sources, methodology and limitations.</v>
      </c>
    </row>
    <row r="16" customFormat="false" ht="29" hidden="false" customHeight="false" outlineLevel="0" collapsed="false">
      <c r="A16" s="18" t="s">
        <v>606</v>
      </c>
      <c r="B16" s="18" t="s">
        <v>607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4</TotalTime>
  <Application>LibreOffice/24.2.5.2$Windows_X86_64 LibreOffice_project/bffef4ea93e59bebbeaf7f431bb02b1a39ee8a59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ontentStatus>Final</cp:contentStatus>
  <dcterms:created xsi:type="dcterms:W3CDTF">2024-07-25T12:01:20Z</dcterms:created>
  <dc:creator/>
  <dc:description/>
  <dc:language>en-GB</dc:language>
  <cp:lastModifiedBy/>
  <dcterms:modified xsi:type="dcterms:W3CDTF">2024-08-06T10:13:14Z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